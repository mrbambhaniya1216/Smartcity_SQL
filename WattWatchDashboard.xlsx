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Q1_Zone_Energy" sheetId="2" state="visible" r:id="rId4"/>
    <sheet name="Q2_Top5_By_Type" sheetId="3" state="visible" r:id="rId5"/>
    <sheet name="Q3_Monthly_Trend" sheetId="4" state="visible" r:id="rId6"/>
    <sheet name="Q4_Cost_Per_Zone" sheetId="5" state="visible" r:id="rId7"/>
    <sheet name="Q5_Meter_Faults" sheetId="6" state="visible" r:id="rId8"/>
    <sheet name="Q6_Zone_Efficiency" sheetId="7" state="visible" r:id="rId9"/>
    <sheet name="Q7_Peak_Patterns" sheetId="8" state="visible" r:id="rId10"/>
    <sheet name="Data_Cube" sheetId="9" state="visible" r:id="rId11"/>
    <sheet name="Calc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1" authorId="0">
      <text>
        <r>
          <rPr>
            <sz val="10"/>
            <rFont val="Arial"/>
            <family val="2"/>
          </rPr>
          <t xml:space="preserve">Persistent fault = fault/outage days &gt;= 700; Intermittent = &gt;= 60. Thresholds editable on Calc!B7:B8.</t>
        </r>
      </text>
    </comment>
  </commentList>
</comments>
</file>

<file path=xl/sharedStrings.xml><?xml version="1.0" encoding="utf-8"?>
<sst xmlns="http://schemas.openxmlformats.org/spreadsheetml/2006/main" count="1535" uniqueCount="181">
  <si>
    <t xml:space="preserve">WattWatch: Urban Energy Consumption Dashboard</t>
  </si>
  <si>
    <t xml:space="preserve">Source: SmartCityEnergy.csv (87,720 meter-day readings, 120 meters, 5 zones, Jan 2023 - Dec 2024), aggregated with SQL. Yellow cells below are the slicers: pick a value from each dropdown.</t>
  </si>
  <si>
    <t xml:space="preserve">Zone</t>
  </si>
  <si>
    <t xml:space="preserve">All</t>
  </si>
  <si>
    <t xml:space="preserve">Type</t>
  </si>
  <si>
    <t xml:space="preserve">From</t>
  </si>
  <si>
    <t xml:space="preserve">2023-01 (Jan)</t>
  </si>
  <si>
    <t xml:space="preserve">To</t>
  </si>
  <si>
    <t xml:space="preserve">2024-12 (Dec)</t>
  </si>
  <si>
    <t xml:space="preserve">Total Consumption (kWh)</t>
  </si>
  <si>
    <t xml:space="preserve">Avg Peak Usage (kWh per reading)</t>
  </si>
  <si>
    <t xml:space="preserve">Total Outage Minutes</t>
  </si>
  <si>
    <t xml:space="preserve">Total Estimated Cost (tariff currency)</t>
  </si>
  <si>
    <t xml:space="preserve">Energy Use by Zone (tile map: darker = more kWh)</t>
  </si>
  <si>
    <t xml:space="preserve">Energy Usage by Consumer Type (kWh)</t>
  </si>
  <si>
    <t xml:space="preserve">North</t>
  </si>
  <si>
    <t xml:space="preserve">West</t>
  </si>
  <si>
    <t xml:space="preserve">Central</t>
  </si>
  <si>
    <t xml:space="preserve">East</t>
  </si>
  <si>
    <t xml:space="preserve">South</t>
  </si>
  <si>
    <t xml:space="preserve">Tile layout approximates the city plan (North top, South bottom). In Power BI, swap this for a Filled Map using real zone boundaries.</t>
  </si>
  <si>
    <t xml:space="preserve">Meter Health Watchlist (top 10 by fault/outage days, from SQL Q5; not affected by slicers)</t>
  </si>
  <si>
    <t xml:space="preserve">Rank</t>
  </si>
  <si>
    <t xml:space="preserve">MeterID</t>
  </si>
  <si>
    <t xml:space="preserve">Consumer Type</t>
  </si>
  <si>
    <t xml:space="preserve">Faulty Days</t>
  </si>
  <si>
    <t xml:space="preserve">Outage Days</t>
  </si>
  <si>
    <t xml:space="preserve">Outage Min</t>
  </si>
  <si>
    <t xml:space="preserve">Fault/Outage Days</t>
  </si>
  <si>
    <t xml:space="preserve">Status</t>
  </si>
  <si>
    <t xml:space="preserve">Notes: Cost uses the tariff currency of the dataset (no currency symbol). Avg Peak Usage = sum of PeakUsage_kWh / number of meter-day readings in the selection.</t>
  </si>
  <si>
    <t xml:space="preserve">Q1. Total and average daily energy consumption by zone</t>
  </si>
  <si>
    <t xml:space="preserve">Source: output of the matching query in SmartCity_SQL.sql (values pasted from query result).</t>
  </si>
  <si>
    <t xml:space="preserve">total_kWh</t>
  </si>
  <si>
    <t xml:space="preserve">avg_daily_zone_kWh</t>
  </si>
  <si>
    <t xml:space="preserve">avg_kWh_per_meter_day</t>
  </si>
  <si>
    <t xml:space="preserve">Q2. Top 5 energy-consuming meters within each consumer type</t>
  </si>
  <si>
    <t xml:space="preserve">ConsumerType</t>
  </si>
  <si>
    <t xml:space="preserve">rank_in_type</t>
  </si>
  <si>
    <t xml:space="preserve">Commercial</t>
  </si>
  <si>
    <t xml:space="preserve">MTR-0083</t>
  </si>
  <si>
    <t xml:space="preserve">MTR-0071</t>
  </si>
  <si>
    <t xml:space="preserve">MTR-0101</t>
  </si>
  <si>
    <t xml:space="preserve">MTR-0100</t>
  </si>
  <si>
    <t xml:space="preserve">MTR-0116</t>
  </si>
  <si>
    <t xml:space="preserve">Industrial</t>
  </si>
  <si>
    <t xml:space="preserve">MTR-0062</t>
  </si>
  <si>
    <t xml:space="preserve">MTR-0060</t>
  </si>
  <si>
    <t xml:space="preserve">MTR-0064</t>
  </si>
  <si>
    <t xml:space="preserve">MTR-0066</t>
  </si>
  <si>
    <t xml:space="preserve">MTR-0108</t>
  </si>
  <si>
    <t xml:space="preserve">Residential</t>
  </si>
  <si>
    <t xml:space="preserve">MTR-0078</t>
  </si>
  <si>
    <t xml:space="preserve">MTR-0004</t>
  </si>
  <si>
    <t xml:space="preserve">MTR-0081</t>
  </si>
  <si>
    <t xml:space="preserve">MTR-0065</t>
  </si>
  <si>
    <t xml:space="preserve">MTR-0047</t>
  </si>
  <si>
    <t xml:space="preserve">Q3. Monthly consumption trend across zones</t>
  </si>
  <si>
    <t xml:space="preserve">year_month_key</t>
  </si>
  <si>
    <t xml:space="preserve">avg_kWh_per_reading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</si>
  <si>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</si>
  <si>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</si>
  <si>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</si>
  <si>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</si>
  <si>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</si>
  <si>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</si>
  <si>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</si>
  <si>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</si>
  <si>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</si>
  <si>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</si>
  <si>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</si>
  <si>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</si>
  <si>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</si>
  <si>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</si>
  <si>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</si>
  <si>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</si>
  <si>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</si>
  <si>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</si>
  <si>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</si>
  <si>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</si>
  <si>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</si>
  <si>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</si>
  <si>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</si>
  <si>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</si>
  <si>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Q4. Average cost per zone (EnergyConsumed_kWh x TariffRate)</t>
  </si>
  <si>
    <t xml:space="preserve">meters</t>
  </si>
  <si>
    <t xml:space="preserve">total_cost</t>
  </si>
  <si>
    <t xml:space="preserve">avg_cost_per_reading</t>
  </si>
  <si>
    <t xml:space="preserve">avg_cost_per_meter</t>
  </si>
  <si>
    <t xml:space="preserve">Q5. Meters with the highest number of faults / outages (top 15)</t>
  </si>
  <si>
    <t xml:space="preserve">faulty_days</t>
  </si>
  <si>
    <t xml:space="preserve">outage_days</t>
  </si>
  <si>
    <t xml:space="preserve">total_outage_min</t>
  </si>
  <si>
    <t xml:space="preserve">fault_or_outage_days</t>
  </si>
  <si>
    <t xml:space="preserve">health_status</t>
  </si>
  <si>
    <t xml:space="preserve">MTR-0038</t>
  </si>
  <si>
    <t xml:space="preserve">MTR-0043</t>
  </si>
  <si>
    <t xml:space="preserve">MTR-0042</t>
  </si>
  <si>
    <t xml:space="preserve">MTR-0039</t>
  </si>
  <si>
    <t xml:space="preserve">MTR-0028</t>
  </si>
  <si>
    <t xml:space="preserve">MTR-0045</t>
  </si>
  <si>
    <t xml:space="preserve">MTR-0079</t>
  </si>
  <si>
    <t xml:space="preserve">MTR-0053</t>
  </si>
  <si>
    <t xml:space="preserve">MTR-0061</t>
  </si>
  <si>
    <t xml:space="preserve">MTR-0017</t>
  </si>
  <si>
    <t xml:space="preserve">MTR-0024</t>
  </si>
  <si>
    <t xml:space="preserve">MTR-0026</t>
  </si>
  <si>
    <t xml:space="preserve">MTR-0072</t>
  </si>
  <si>
    <t xml:space="preserve">MTR-0049</t>
  </si>
  <si>
    <t xml:space="preserve">MTR-0006</t>
  </si>
  <si>
    <t xml:space="preserve">health_status rule: 'Persistent fault' if fault_or_outage_days &gt;= Calc!B7; 'Intermittent' if &gt;= Calc!B8; else 'Monitor'.</t>
  </si>
  <si>
    <t xml:space="preserve">Q6. Zones with lowest energy efficiency (high usage + frequent outages)</t>
  </si>
  <si>
    <t xml:space="preserve">avg_outage_min_per_meter_day</t>
  </si>
  <si>
    <t xml:space="preserve">pct_days_with_outage</t>
  </si>
  <si>
    <t xml:space="preserve">usage_index</t>
  </si>
  <si>
    <t xml:space="preserve">outage_index</t>
  </si>
  <si>
    <t xml:space="preserve">inefficiency_score</t>
  </si>
  <si>
    <t xml:space="preserve">inefficiency_rank</t>
  </si>
  <si>
    <t xml:space="preserve">Q7. Peak usage patterns: weekdays vs weekends</t>
  </si>
  <si>
    <t xml:space="preserve">7a: by day type and consumer type | 7b: by day of week (below). Source: SmartCity_SQL.sql Q7a / Q7b.</t>
  </si>
  <si>
    <t xml:space="preserve">day_type</t>
  </si>
  <si>
    <t xml:space="preserve">avg_peak_kWh</t>
  </si>
  <si>
    <t xml:space="preserve">max_peak_kWh</t>
  </si>
  <si>
    <t xml:space="preserve">avg_daily_kWh</t>
  </si>
  <si>
    <t xml:space="preserve">Weekday</t>
  </si>
  <si>
    <t xml:space="preserve">Weekend</t>
  </si>
  <si>
    <t xml:space="preserve">7b. Average peak by day of week (all consumers)</t>
  </si>
  <si>
    <t xml:space="preserve">dow_number</t>
  </si>
  <si>
    <t xml:space="preserve">day_name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</si>
  <si>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</si>
  <si>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</si>
  <si>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</si>
  <si>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</si>
  <si>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</si>
  <si>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</si>
  <si>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</si>
  <si>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MonthNo</t>
  </si>
  <si>
    <t xml:space="preserve">Month</t>
  </si>
  <si>
    <t xml:space="preserve">Readings</t>
  </si>
  <si>
    <t xml:space="preserve">Total_kWh</t>
  </si>
  <si>
    <t xml:space="preserve">PeakSum_kWh</t>
  </si>
  <si>
    <t xml:space="preserve">OutageMinutes</t>
  </si>
  <si>
    <t xml:space="preserve">EstCost</t>
  </si>
  <si>
    <t xml:space="preserve">FaultyReadings</t>
  </si>
  <si>
    <t xml:space="preserve">Zone x ConsumerType x Month cube = SQL query D3 in SmartCity_SQL.sql. Powers every formula on the Dashboard.</t>
  </si>
  <si>
    <t xml:space="preserve">Helper sheet for the Dashboard (filters, lists, chart feeds). Blue = editable input.</t>
  </si>
  <si>
    <t xml:space="preserve">Month label</t>
  </si>
  <si>
    <t xml:space="preserve">Zones</t>
  </si>
  <si>
    <t xml:space="preserve">Types</t>
  </si>
  <si>
    <t xml:space="preserve">kWh (zone+type filter)</t>
  </si>
  <si>
    <t xml:space="preserve">kWh (zone+range filter)</t>
  </si>
  <si>
    <t xml:space="preserve">kWh (type+range filter)</t>
  </si>
  <si>
    <t xml:space="preserve">Zone criterion</t>
  </si>
  <si>
    <t xml:space="preserve">ConsumerType criterion</t>
  </si>
  <si>
    <t xml:space="preserve">2023-02 (Feb)</t>
  </si>
  <si>
    <t xml:space="preserve">From month index</t>
  </si>
  <si>
    <t xml:space="preserve">2023-03 (Mar)</t>
  </si>
  <si>
    <t xml:space="preserve">To month index</t>
  </si>
  <si>
    <t xml:space="preserve">2023-04 (Apr)</t>
  </si>
  <si>
    <t xml:space="preserve">Persistent-fault threshold (fault/outage days)</t>
  </si>
  <si>
    <t xml:space="preserve">2023-05 (May)</t>
  </si>
  <si>
    <t xml:space="preserve">Intermittent threshold (fault/outage days)</t>
  </si>
  <si>
    <t xml:space="preserve">2023-06 (Jun)</t>
  </si>
  <si>
    <t xml:space="preserve">Thresholds are assumptions: 2 years = 731 days, so 700+ days means faulty almost the whole period; 60+ days is treated as a recurring problem.</t>
  </si>
  <si>
    <t xml:space="preserve">2023-07 (Jul)</t>
  </si>
  <si>
    <t xml:space="preserve">2023-08 (Aug)</t>
  </si>
  <si>
    <t xml:space="preserve">2023-09 (Sep)</t>
  </si>
  <si>
    <t xml:space="preserve">2023-10 (Oct)</t>
  </si>
  <si>
    <t xml:space="preserve">2023-11 (Nov)</t>
  </si>
  <si>
    <t xml:space="preserve">2023-12 (Dec)</t>
  </si>
  <si>
    <t xml:space="preserve">2024-01 (Jan)</t>
  </si>
  <si>
    <t xml:space="preserve">2024-02 (Feb)</t>
  </si>
  <si>
    <t xml:space="preserve">2024-03 (Mar)</t>
  </si>
  <si>
    <t xml:space="preserve">2024-04 (Apr)</t>
  </si>
  <si>
    <t xml:space="preserve">2024-05 (May)</t>
  </si>
  <si>
    <t xml:space="preserve">2024-06 (Jun)</t>
  </si>
  <si>
    <t xml:space="preserve">2024-07 (Jul)</t>
  </si>
  <si>
    <t xml:space="preserve">2024-08 (Aug)</t>
  </si>
  <si>
    <t xml:space="preserve">2024-09 (Sep)</t>
  </si>
  <si>
    <t xml:space="preserve">2024-10 (Oct)</t>
  </si>
  <si>
    <t xml:space="preserve">2024-11 (Nov)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</si>
</sst>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#,##0.00"/>
    <numFmt numFmtId="168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B3C4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0B3C49"/>
      <name val="Arial"/>
      <family val="0"/>
      <charset val="1"/>
    </font>
    <font>
      <b val="true"/>
      <sz val="11"/>
      <color rgb="FF0B3C49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3"/>
      <color rgb="FF0B3C4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C49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1B7F8C"/>
        <bgColor rgb="FF008080"/>
      </patternFill>
    </fill>
    <fill>
      <patternFill patternType="solid">
        <fgColor rgb="FFE8F3F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B7F8C"/>
      <rgbColor rgb="FFBFBFBF"/>
      <rgbColor rgb="FF878787"/>
      <rgbColor rgb="FF9999FF"/>
      <rgbColor rgb="FF993366"/>
      <rgbColor rgb="FFF9F9F9"/>
      <rgbColor rgb="FFE8F3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Calc!O2</c:f>
              <c:strCache>
                <c:ptCount val="1"/>
                <c:pt idx="0">
                  <c:v>kWh (zone+range filter)</c:v>
                </c:pt>
              </c:strCache>
            </c:strRef>
          </c:tx>
          <c:spPr>
            <a:solidFill>
              <a:srgbClr val="1b7f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Calc!$N$3:$N$5</c:f>
              <c:strCache>
                <c:ptCount val="3"/>
                <c:pt idx="0">
                  <c:v>Residential</c:v>
                </c:pt>
                <c:pt idx="1">
                  <c:v>Commercial</c:v>
                </c:pt>
                <c:pt idx="2">
                  <c:v>Industrial</c:v>
                </c:pt>
              </c:strCache>
            </c:strRef>
          </c:cat>
          <c:val>
            <c:numRef>
              <c:f>Calc!$O$3:$O$5</c:f>
              <c:numCache>
                <c:formatCode>#,##0</c:formatCode>
                <c:ptCount val="3"/>
                <c:pt idx="0">
                  <c:v>927154.95</c:v>
                </c:pt>
                <c:pt idx="1">
                  <c:v>3634860.13</c:v>
                </c:pt>
                <c:pt idx="2">
                  <c:v>9771138.54</c:v>
                </c:pt>
              </c:numCache>
            </c:numRef>
          </c:val>
        </c:ser>
        <c:gapWidth val="150"/>
        <c:overlap val="0"/>
        <c:axId val="55037679"/>
        <c:axId val="97724552"/>
      </c:barChart>
      <c:catAx>
        <c:axId val="55037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Consumer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24552"/>
        <c:crosses val="autoZero"/>
        <c:auto val="1"/>
        <c:lblAlgn val="ctr"/>
        <c:lblOffset val="100"/>
        <c:noMultiLvlLbl val="0"/>
      </c:catAx>
      <c:valAx>
        <c:axId val="97724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376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kWh Trend (Zone and Type slicers)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Calc!L2</c:f>
              <c:strCache>
                <c:ptCount val="1"/>
                <c:pt idx="0">
                  <c:v>kWh (zone+type filter)</c:v>
                </c:pt>
              </c:strCache>
            </c:strRef>
          </c:tx>
          <c:spPr>
            <a:solidFill>
              <a:srgbClr val="0b3c49"/>
            </a:solidFill>
            <a:ln w="28080">
              <a:solidFill>
                <a:srgbClr val="0b3c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Calc!$K$3:$K$26</c:f>
              <c:strCache>
                <c:ptCount val="24"/>
                <c:pt idx="0">
                  <c:v>2023-01 (Jan)</c:v>
                </c:pt>
                <c:pt idx="1">
                  <c:v>2023-02 (Feb)</c:v>
                </c:pt>
                <c:pt idx="2">
                  <c:v>2023-03 (Mar)</c:v>
                </c:pt>
                <c:pt idx="3">
                  <c:v>2023-04 (Apr)</c:v>
                </c:pt>
                <c:pt idx="4">
                  <c:v>2023-05 (May)</c:v>
                </c:pt>
                <c:pt idx="5">
                  <c:v>2023-06 (Jun)</c:v>
                </c:pt>
                <c:pt idx="6">
                  <c:v>2023-07 (Jul)</c:v>
                </c:pt>
                <c:pt idx="7">
                  <c:v>2023-08 (Aug)</c:v>
                </c:pt>
                <c:pt idx="8">
                  <c:v>2023-09 (Sep)</c:v>
                </c:pt>
                <c:pt idx="9">
                  <c:v>2023-10 (Oct)</c:v>
                </c:pt>
                <c:pt idx="10">
                  <c:v>2023-11 (Nov)</c:v>
                </c:pt>
                <c:pt idx="11">
                  <c:v>2023-12 (Dec)</c:v>
                </c:pt>
                <c:pt idx="12">
                  <c:v>2024-01 (Jan)</c:v>
                </c:pt>
                <c:pt idx="13">
                  <c:v>2024-02 (Feb)</c:v>
                </c:pt>
                <c:pt idx="14">
                  <c:v>2024-03 (Mar)</c:v>
                </c:pt>
                <c:pt idx="15">
                  <c:v>2024-04 (Apr)</c:v>
                </c:pt>
                <c:pt idx="16">
                  <c:v>2024-05 (May)</c:v>
                </c:pt>
                <c:pt idx="17">
                  <c:v>2024-06 (Jun)</c:v>
                </c:pt>
                <c:pt idx="18">
                  <c:v>2024-07 (Jul)</c:v>
                </c:pt>
                <c:pt idx="19">
                  <c:v>2024-08 (Aug)</c:v>
                </c:pt>
                <c:pt idx="20">
                  <c:v>2024-09 (Sep)</c:v>
                </c:pt>
                <c:pt idx="21">
                  <c:v>2024-10 (Oct)</c:v>
                </c:pt>
                <c:pt idx="22">
                  <c:v>2024-11 (Nov)</c:v>
                </c:pt>
                <c:pt idx="23">
                  <c:v>2024-12 (Dec)</c:v>
                </c:pt>
              </c:strCache>
            </c:strRef>
          </c:cat>
          <c:val>
            <c:numRef>
              <c:f>Calc!$L$3:$L$26</c:f>
              <c:numCache>
                <c:formatCode>#,##0</c:formatCode>
                <c:ptCount val="24"/>
                <c:pt idx="0">
                  <c:v>466431.32</c:v>
                </c:pt>
                <c:pt idx="1">
                  <c:v>466889.23</c:v>
                </c:pt>
                <c:pt idx="2">
                  <c:v>586233.84</c:v>
                </c:pt>
                <c:pt idx="3">
                  <c:v>638708.5</c:v>
                </c:pt>
                <c:pt idx="4">
                  <c:v>732169.5</c:v>
                </c:pt>
                <c:pt idx="5">
                  <c:v>732850.25</c:v>
                </c:pt>
                <c:pt idx="6">
                  <c:v>727015.24</c:v>
                </c:pt>
                <c:pt idx="7">
                  <c:v>695458.17</c:v>
                </c:pt>
                <c:pt idx="8">
                  <c:v>593738.72</c:v>
                </c:pt>
                <c:pt idx="9">
                  <c:v>539581.62</c:v>
                </c:pt>
                <c:pt idx="10">
                  <c:v>471421.73</c:v>
                </c:pt>
                <c:pt idx="11">
                  <c:v>452585.82</c:v>
                </c:pt>
                <c:pt idx="12">
                  <c:v>479148.54</c:v>
                </c:pt>
                <c:pt idx="13">
                  <c:v>495600.33</c:v>
                </c:pt>
                <c:pt idx="14">
                  <c:v>595277.93</c:v>
                </c:pt>
                <c:pt idx="15">
                  <c:v>658349.97</c:v>
                </c:pt>
                <c:pt idx="16">
                  <c:v>743958.67</c:v>
                </c:pt>
                <c:pt idx="17">
                  <c:v>732650.61</c:v>
                </c:pt>
                <c:pt idx="18">
                  <c:v>754747.62</c:v>
                </c:pt>
                <c:pt idx="19">
                  <c:v>694546.74</c:v>
                </c:pt>
                <c:pt idx="20">
                  <c:v>595974.27</c:v>
                </c:pt>
                <c:pt idx="21">
                  <c:v>547667.14</c:v>
                </c:pt>
                <c:pt idx="22">
                  <c:v>470810.29</c:v>
                </c:pt>
                <c:pt idx="23">
                  <c:v>461337.57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127880"/>
        <c:axId val="84099046"/>
      </c:lineChart>
      <c:catAx>
        <c:axId val="421278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99046"/>
        <c:crosses val="autoZero"/>
        <c:auto val="1"/>
        <c:lblAlgn val="ctr"/>
        <c:lblOffset val="100"/>
        <c:noMultiLvlLbl val="0"/>
      </c:catAx>
      <c:valAx>
        <c:axId val="84099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278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10</xdr:row>
      <xdr:rowOff>0</xdr:rowOff>
    </xdr:from>
    <xdr:to>
      <xdr:col>13</xdr:col>
      <xdr:colOff>291240</xdr:colOff>
      <xdr:row>18</xdr:row>
      <xdr:rowOff>96120</xdr:rowOff>
    </xdr:to>
    <xdr:graphicFrame>
      <xdr:nvGraphicFramePr>
        <xdr:cNvPr id="0" name="Chart 1"/>
        <xdr:cNvGraphicFramePr/>
      </xdr:nvGraphicFramePr>
      <xdr:xfrm>
        <a:off x="5429160" y="27622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12</xdr:col>
      <xdr:colOff>204480</xdr:colOff>
      <xdr:row>36</xdr:row>
      <xdr:rowOff>94320</xdr:rowOff>
    </xdr:to>
    <xdr:graphicFrame>
      <xdr:nvGraphicFramePr>
        <xdr:cNvPr id="1" name="Chart 2"/>
        <xdr:cNvGraphicFramePr/>
      </xdr:nvGraphicFramePr>
      <xdr:xfrm>
        <a:off x="141120" y="5829480"/>
        <a:ext cx="98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C49"/>
    <pageSetUpPr fitToPage="true"/>
  </sheetPr>
  <dimension ref="B1:M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2.5"/>
  </cols>
  <sheetData>
    <row r="1" customFormat="false" ht="42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4" hidden="false" customHeight="true" outlineLevel="0" collapsed="false">
      <c r="B4" s="3" t="s">
        <v>2</v>
      </c>
      <c r="C4" s="4" t="s">
        <v>3</v>
      </c>
      <c r="D4" s="4"/>
      <c r="E4" s="3" t="s">
        <v>4</v>
      </c>
      <c r="F4" s="4" t="s">
        <v>3</v>
      </c>
      <c r="G4" s="4"/>
      <c r="H4" s="3" t="s">
        <v>5</v>
      </c>
      <c r="I4" s="4" t="s">
        <v>6</v>
      </c>
      <c r="J4" s="4"/>
      <c r="K4" s="3" t="s">
        <v>7</v>
      </c>
      <c r="L4" s="4" t="s">
        <v>8</v>
      </c>
      <c r="M4" s="4"/>
    </row>
    <row r="5" customFormat="false" ht="15" hidden="false" customHeight="false" outlineLevel="0" collapsed="false">
      <c r="B5" s="5" t="str">
        <f aca="false">IF(Calc!B5&gt;Calc!B6,"Check filters: the From month is after the To month.","")</f>
        <v/>
      </c>
    </row>
    <row r="7" customFormat="false" ht="21.75" hidden="false" customHeight="true" outlineLevel="0" collapsed="false">
      <c r="B7" s="6" t="s">
        <v>9</v>
      </c>
      <c r="C7" s="6"/>
      <c r="D7" s="6"/>
      <c r="E7" s="6" t="s">
        <v>10</v>
      </c>
      <c r="F7" s="6"/>
      <c r="G7" s="6"/>
      <c r="H7" s="6" t="s">
        <v>11</v>
      </c>
      <c r="I7" s="6"/>
      <c r="J7" s="6"/>
      <c r="K7" s="6" t="s">
        <v>12</v>
      </c>
      <c r="L7" s="6"/>
      <c r="M7" s="6"/>
    </row>
    <row r="8" customFormat="false" ht="39.75" hidden="false" customHeight="true" outlineLevel="0" collapsed="false">
      <c r="B8" s="7" t="n">
        <f aca="false">SUMIFS(Data_Cube!$F$2:$F$337,Data_Cube!$C$2:$C$337,Calc!$B$3,Data_Cube!$D$2:$D$337,Calc!$B$4,Data_Cube!$A$2:$A$337,"&gt;="&amp;Calc!$B$5,Data_Cube!$A$2:$A$337,"&lt;="&amp;Calc!$B$6)</f>
        <v>14333153.62</v>
      </c>
      <c r="C8" s="7"/>
      <c r="D8" s="7"/>
      <c r="E8" s="8" t="n">
        <f aca="false">IFERROR(SUMIFS(Data_Cube!$G$2:$G$337,Data_Cube!$C$2:$C$337,Calc!$B$3,Data_Cube!$D$2:$D$337,Calc!$B$4,Data_Cube!$A$2:$A$337,"&gt;="&amp;Calc!$B$5,Data_Cube!$A$2:$A$337,"&lt;="&amp;Calc!$B$6)/SUMIFS(Data_Cube!$E$2:$E$337,Data_Cube!$C$2:$C$337,Calc!$B$3,Data_Cube!$D$2:$D$337,Calc!$B$4,Data_Cube!$A$2:$A$337,"&gt;="&amp;Calc!$B$5,Data_Cube!$A$2:$A$337,"&lt;="&amp;Calc!$B$6),0)</f>
        <v>10.9093024395805</v>
      </c>
      <c r="F8" s="8"/>
      <c r="G8" s="8"/>
      <c r="H8" s="7" t="n">
        <f aca="false">SUMIFS(Data_Cube!$H$2:$H$337,Data_Cube!$C$2:$C$337,Calc!$B$3,Data_Cube!$D$2:$D$337,Calc!$B$4,Data_Cube!$A$2:$A$337,"&gt;="&amp;Calc!$B$5,Data_Cube!$A$2:$A$337,"&lt;="&amp;Calc!$B$6)</f>
        <v>264571</v>
      </c>
      <c r="I8" s="7"/>
      <c r="J8" s="7"/>
      <c r="K8" s="7" t="n">
        <f aca="false">SUMIFS(Data_Cube!$I$2:$I$337,Data_Cube!$C$2:$C$337,Calc!$B$3,Data_Cube!$D$2:$D$337,Calc!$B$4,Data_Cube!$A$2:$A$337,"&gt;="&amp;Calc!$B$5,Data_Cube!$A$2:$A$337,"&lt;="&amp;Calc!$B$6)</f>
        <v>1941296.46</v>
      </c>
      <c r="L8" s="7"/>
      <c r="M8" s="7"/>
    </row>
    <row r="10" customFormat="false" ht="15" hidden="false" customHeight="false" outlineLevel="0" collapsed="false">
      <c r="B10" s="9" t="s">
        <v>13</v>
      </c>
      <c r="C10" s="9"/>
      <c r="D10" s="9"/>
      <c r="E10" s="9"/>
      <c r="F10" s="9"/>
      <c r="G10" s="9"/>
      <c r="H10" s="9" t="s">
        <v>14</v>
      </c>
      <c r="I10" s="9"/>
      <c r="J10" s="9"/>
      <c r="K10" s="9"/>
      <c r="L10" s="9"/>
      <c r="M10" s="9"/>
    </row>
    <row r="11" customFormat="false" ht="18" hidden="false" customHeight="true" outlineLevel="0" collapsed="false">
      <c r="D11" s="10" t="s">
        <v>15</v>
      </c>
      <c r="E11" s="10"/>
    </row>
    <row r="12" customFormat="false" ht="37.5" hidden="false" customHeight="true" outlineLevel="0" collapsed="false">
      <c r="D12" s="11" t="n">
        <f aca="false">Calc!R3</f>
        <v>2327174.33</v>
      </c>
      <c r="E12" s="11"/>
    </row>
    <row r="14" customFormat="false" ht="18" hidden="false" customHeight="true" outlineLevel="0" collapsed="false">
      <c r="B14" s="10" t="s">
        <v>16</v>
      </c>
      <c r="C14" s="10"/>
      <c r="D14" s="10" t="s">
        <v>17</v>
      </c>
      <c r="E14" s="10"/>
      <c r="F14" s="10" t="s">
        <v>18</v>
      </c>
      <c r="G14" s="10"/>
    </row>
    <row r="15" customFormat="false" ht="37.5" hidden="false" customHeight="true" outlineLevel="0" collapsed="false">
      <c r="B15" s="11" t="n">
        <f aca="false">Calc!R4</f>
        <v>1923850.98</v>
      </c>
      <c r="C15" s="11"/>
      <c r="D15" s="11" t="n">
        <f aca="false">Calc!R5</f>
        <v>3372965.49</v>
      </c>
      <c r="E15" s="11"/>
      <c r="F15" s="11" t="n">
        <f aca="false">Calc!R6</f>
        <v>6106278.44</v>
      </c>
      <c r="G15" s="11"/>
    </row>
    <row r="17" customFormat="false" ht="18" hidden="false" customHeight="true" outlineLevel="0" collapsed="false">
      <c r="D17" s="10" t="s">
        <v>19</v>
      </c>
      <c r="E17" s="10"/>
    </row>
    <row r="18" customFormat="false" ht="37.5" hidden="false" customHeight="true" outlineLevel="0" collapsed="false">
      <c r="D18" s="11" t="n">
        <f aca="false">Calc!R7</f>
        <v>602884.38</v>
      </c>
      <c r="E18" s="11"/>
    </row>
    <row r="19" customFormat="false" ht="15" hidden="false" customHeight="true" outlineLevel="0" collapsed="false">
      <c r="B19" s="12" t="s">
        <v>20</v>
      </c>
      <c r="C19" s="12"/>
      <c r="D19" s="12"/>
      <c r="E19" s="12"/>
      <c r="F19" s="12"/>
      <c r="G19" s="12"/>
    </row>
    <row r="20" customFormat="false" ht="15" hidden="false" customHeight="false" outlineLevel="0" collapsed="false">
      <c r="B20" s="12"/>
      <c r="C20" s="12"/>
      <c r="D20" s="12"/>
      <c r="E20" s="12"/>
      <c r="F20" s="12"/>
      <c r="G20" s="12"/>
    </row>
    <row r="40" customFormat="false" ht="15" hidden="false" customHeight="false" outlineLevel="0" collapsed="false">
      <c r="B40" s="9" t="s">
        <v>21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customFormat="false" ht="30" hidden="false" customHeight="true" outlineLevel="0" collapsed="false">
      <c r="B41" s="13" t="s">
        <v>22</v>
      </c>
      <c r="C41" s="13" t="s">
        <v>23</v>
      </c>
      <c r="D41" s="13" t="s">
        <v>2</v>
      </c>
      <c r="E41" s="13" t="s">
        <v>24</v>
      </c>
      <c r="F41" s="13" t="s">
        <v>25</v>
      </c>
      <c r="G41" s="13" t="s">
        <v>26</v>
      </c>
      <c r="H41" s="13" t="s">
        <v>27</v>
      </c>
      <c r="I41" s="13" t="s">
        <v>28</v>
      </c>
      <c r="J41" s="13" t="s">
        <v>29</v>
      </c>
      <c r="K41" s="13"/>
    </row>
    <row r="42" customFormat="false" ht="15" hidden="false" customHeight="false" outlineLevel="0" collapsed="false">
      <c r="B42" s="14" t="n">
        <v>1</v>
      </c>
      <c r="C42" s="14" t="str">
        <f aca="false">Q5_Meter_Faults!A5</f>
        <v>MTR-0038</v>
      </c>
      <c r="D42" s="14" t="str">
        <f aca="false">Q5_Meter_Faults!B5</f>
        <v>South</v>
      </c>
      <c r="E42" s="14" t="str">
        <f aca="false">Q5_Meter_Faults!C5</f>
        <v>Residential</v>
      </c>
      <c r="F42" s="15" t="n">
        <f aca="false">Q5_Meter_Faults!D5</f>
        <v>731</v>
      </c>
      <c r="G42" s="15" t="n">
        <f aca="false">Q5_Meter_Faults!E5</f>
        <v>186</v>
      </c>
      <c r="H42" s="15" t="n">
        <f aca="false">Q5_Meter_Faults!F5</f>
        <v>10943</v>
      </c>
      <c r="I42" s="15" t="n">
        <f aca="false">Q5_Meter_Faults!G5</f>
        <v>731</v>
      </c>
      <c r="J42" s="14" t="str">
        <f aca="false">Q5_Meter_Faults!H5</f>
        <v>Persistent fault</v>
      </c>
      <c r="K42" s="14"/>
    </row>
    <row r="43" customFormat="false" ht="15" hidden="false" customHeight="false" outlineLevel="0" collapsed="false">
      <c r="B43" s="14" t="n">
        <v>2</v>
      </c>
      <c r="C43" s="14" t="str">
        <f aca="false">Q5_Meter_Faults!A6</f>
        <v>MTR-0043</v>
      </c>
      <c r="D43" s="14" t="str">
        <f aca="false">Q5_Meter_Faults!B6</f>
        <v>South</v>
      </c>
      <c r="E43" s="14" t="str">
        <f aca="false">Q5_Meter_Faults!C6</f>
        <v>Residential</v>
      </c>
      <c r="F43" s="15" t="n">
        <f aca="false">Q5_Meter_Faults!D6</f>
        <v>731</v>
      </c>
      <c r="G43" s="15" t="n">
        <f aca="false">Q5_Meter_Faults!E6</f>
        <v>169</v>
      </c>
      <c r="H43" s="15" t="n">
        <f aca="false">Q5_Meter_Faults!F6</f>
        <v>10059</v>
      </c>
      <c r="I43" s="15" t="n">
        <f aca="false">Q5_Meter_Faults!G6</f>
        <v>731</v>
      </c>
      <c r="J43" s="14" t="str">
        <f aca="false">Q5_Meter_Faults!H6</f>
        <v>Persistent fault</v>
      </c>
      <c r="K43" s="14"/>
    </row>
    <row r="44" customFormat="false" ht="15" hidden="false" customHeight="false" outlineLevel="0" collapsed="false">
      <c r="B44" s="14" t="n">
        <v>3</v>
      </c>
      <c r="C44" s="14" t="str">
        <f aca="false">Q5_Meter_Faults!A7</f>
        <v>MTR-0042</v>
      </c>
      <c r="D44" s="14" t="str">
        <f aca="false">Q5_Meter_Faults!B7</f>
        <v>South</v>
      </c>
      <c r="E44" s="14" t="str">
        <f aca="false">Q5_Meter_Faults!C7</f>
        <v>Residential</v>
      </c>
      <c r="F44" s="15" t="n">
        <f aca="false">Q5_Meter_Faults!D7</f>
        <v>731</v>
      </c>
      <c r="G44" s="15" t="n">
        <f aca="false">Q5_Meter_Faults!E7</f>
        <v>168</v>
      </c>
      <c r="H44" s="15" t="n">
        <f aca="false">Q5_Meter_Faults!F7</f>
        <v>10022</v>
      </c>
      <c r="I44" s="15" t="n">
        <f aca="false">Q5_Meter_Faults!G7</f>
        <v>731</v>
      </c>
      <c r="J44" s="14" t="str">
        <f aca="false">Q5_Meter_Faults!H7</f>
        <v>Persistent fault</v>
      </c>
      <c r="K44" s="14"/>
    </row>
    <row r="45" customFormat="false" ht="15" hidden="false" customHeight="false" outlineLevel="0" collapsed="false">
      <c r="B45" s="14" t="n">
        <v>4</v>
      </c>
      <c r="C45" s="14" t="str">
        <f aca="false">Q5_Meter_Faults!A8</f>
        <v>MTR-0039</v>
      </c>
      <c r="D45" s="14" t="str">
        <f aca="false">Q5_Meter_Faults!B8</f>
        <v>South</v>
      </c>
      <c r="E45" s="14" t="str">
        <f aca="false">Q5_Meter_Faults!C8</f>
        <v>Commercial</v>
      </c>
      <c r="F45" s="15" t="n">
        <f aca="false">Q5_Meter_Faults!D8</f>
        <v>731</v>
      </c>
      <c r="G45" s="15" t="n">
        <f aca="false">Q5_Meter_Faults!E8</f>
        <v>188</v>
      </c>
      <c r="H45" s="15" t="n">
        <f aca="false">Q5_Meter_Faults!F8</f>
        <v>9950</v>
      </c>
      <c r="I45" s="15" t="n">
        <f aca="false">Q5_Meter_Faults!G8</f>
        <v>731</v>
      </c>
      <c r="J45" s="14" t="str">
        <f aca="false">Q5_Meter_Faults!H8</f>
        <v>Persistent fault</v>
      </c>
      <c r="K45" s="14"/>
    </row>
    <row r="46" customFormat="false" ht="15" hidden="false" customHeight="false" outlineLevel="0" collapsed="false">
      <c r="B46" s="14" t="n">
        <v>5</v>
      </c>
      <c r="C46" s="14" t="str">
        <f aca="false">Q5_Meter_Faults!A9</f>
        <v>MTR-0028</v>
      </c>
      <c r="D46" s="14" t="str">
        <f aca="false">Q5_Meter_Faults!B9</f>
        <v>South</v>
      </c>
      <c r="E46" s="14" t="str">
        <f aca="false">Q5_Meter_Faults!C9</f>
        <v>Residential</v>
      </c>
      <c r="F46" s="15" t="n">
        <f aca="false">Q5_Meter_Faults!D9</f>
        <v>731</v>
      </c>
      <c r="G46" s="15" t="n">
        <f aca="false">Q5_Meter_Faults!E9</f>
        <v>161</v>
      </c>
      <c r="H46" s="15" t="n">
        <f aca="false">Q5_Meter_Faults!F9</f>
        <v>8769</v>
      </c>
      <c r="I46" s="15" t="n">
        <f aca="false">Q5_Meter_Faults!G9</f>
        <v>731</v>
      </c>
      <c r="J46" s="14" t="str">
        <f aca="false">Q5_Meter_Faults!H9</f>
        <v>Persistent fault</v>
      </c>
      <c r="K46" s="14"/>
    </row>
    <row r="47" customFormat="false" ht="15" hidden="false" customHeight="false" outlineLevel="0" collapsed="false">
      <c r="B47" s="14" t="n">
        <v>6</v>
      </c>
      <c r="C47" s="14" t="str">
        <f aca="false">Q5_Meter_Faults!A10</f>
        <v>MTR-0045</v>
      </c>
      <c r="D47" s="14" t="str">
        <f aca="false">Q5_Meter_Faults!B10</f>
        <v>South</v>
      </c>
      <c r="E47" s="14" t="str">
        <f aca="false">Q5_Meter_Faults!C10</f>
        <v>Residential</v>
      </c>
      <c r="F47" s="15" t="n">
        <f aca="false">Q5_Meter_Faults!D10</f>
        <v>731</v>
      </c>
      <c r="G47" s="15" t="n">
        <f aca="false">Q5_Meter_Faults!E10</f>
        <v>156</v>
      </c>
      <c r="H47" s="15" t="n">
        <f aca="false">Q5_Meter_Faults!F10</f>
        <v>8196</v>
      </c>
      <c r="I47" s="15" t="n">
        <f aca="false">Q5_Meter_Faults!G10</f>
        <v>731</v>
      </c>
      <c r="J47" s="14" t="str">
        <f aca="false">Q5_Meter_Faults!H10</f>
        <v>Persistent fault</v>
      </c>
      <c r="K47" s="14"/>
    </row>
    <row r="48" customFormat="false" ht="15" hidden="false" customHeight="false" outlineLevel="0" collapsed="false">
      <c r="B48" s="14" t="n">
        <v>7</v>
      </c>
      <c r="C48" s="14" t="str">
        <f aca="false">Q5_Meter_Faults!A11</f>
        <v>MTR-0079</v>
      </c>
      <c r="D48" s="14" t="str">
        <f aca="false">Q5_Meter_Faults!B11</f>
        <v>West</v>
      </c>
      <c r="E48" s="14" t="str">
        <f aca="false">Q5_Meter_Faults!C11</f>
        <v>Industrial</v>
      </c>
      <c r="F48" s="15" t="n">
        <f aca="false">Q5_Meter_Faults!D11</f>
        <v>731</v>
      </c>
      <c r="G48" s="15" t="n">
        <f aca="false">Q5_Meter_Faults!E11</f>
        <v>103</v>
      </c>
      <c r="H48" s="15" t="n">
        <f aca="false">Q5_Meter_Faults!F11</f>
        <v>4954</v>
      </c>
      <c r="I48" s="15" t="n">
        <f aca="false">Q5_Meter_Faults!G11</f>
        <v>731</v>
      </c>
      <c r="J48" s="14" t="str">
        <f aca="false">Q5_Meter_Faults!H11</f>
        <v>Persistent fault</v>
      </c>
      <c r="K48" s="14"/>
    </row>
    <row r="49" customFormat="false" ht="15" hidden="false" customHeight="false" outlineLevel="0" collapsed="false">
      <c r="B49" s="14" t="n">
        <v>8</v>
      </c>
      <c r="C49" s="14" t="str">
        <f aca="false">Q5_Meter_Faults!A12</f>
        <v>MTR-0053</v>
      </c>
      <c r="D49" s="14" t="str">
        <f aca="false">Q5_Meter_Faults!B12</f>
        <v>East</v>
      </c>
      <c r="E49" s="14" t="str">
        <f aca="false">Q5_Meter_Faults!C12</f>
        <v>Commercial</v>
      </c>
      <c r="F49" s="15" t="n">
        <f aca="false">Q5_Meter_Faults!D12</f>
        <v>731</v>
      </c>
      <c r="G49" s="15" t="n">
        <f aca="false">Q5_Meter_Faults!E12</f>
        <v>71</v>
      </c>
      <c r="H49" s="15" t="n">
        <f aca="false">Q5_Meter_Faults!F12</f>
        <v>4564</v>
      </c>
      <c r="I49" s="15" t="n">
        <f aca="false">Q5_Meter_Faults!G12</f>
        <v>731</v>
      </c>
      <c r="J49" s="14" t="str">
        <f aca="false">Q5_Meter_Faults!H12</f>
        <v>Persistent fault</v>
      </c>
      <c r="K49" s="14"/>
    </row>
    <row r="50" customFormat="false" ht="15" hidden="false" customHeight="false" outlineLevel="0" collapsed="false">
      <c r="B50" s="14" t="n">
        <v>9</v>
      </c>
      <c r="C50" s="14" t="str">
        <f aca="false">Q5_Meter_Faults!A13</f>
        <v>MTR-0061</v>
      </c>
      <c r="D50" s="14" t="str">
        <f aca="false">Q5_Meter_Faults!B13</f>
        <v>East</v>
      </c>
      <c r="E50" s="14" t="str">
        <f aca="false">Q5_Meter_Faults!C13</f>
        <v>Residential</v>
      </c>
      <c r="F50" s="15" t="n">
        <f aca="false">Q5_Meter_Faults!D13</f>
        <v>731</v>
      </c>
      <c r="G50" s="15" t="n">
        <f aca="false">Q5_Meter_Faults!E13</f>
        <v>68</v>
      </c>
      <c r="H50" s="15" t="n">
        <f aca="false">Q5_Meter_Faults!F13</f>
        <v>4394</v>
      </c>
      <c r="I50" s="15" t="n">
        <f aca="false">Q5_Meter_Faults!G13</f>
        <v>731</v>
      </c>
      <c r="J50" s="14" t="str">
        <f aca="false">Q5_Meter_Faults!H13</f>
        <v>Persistent fault</v>
      </c>
      <c r="K50" s="14"/>
    </row>
    <row r="51" customFormat="false" ht="15" hidden="false" customHeight="false" outlineLevel="0" collapsed="false">
      <c r="B51" s="14" t="n">
        <v>10</v>
      </c>
      <c r="C51" s="14" t="str">
        <f aca="false">Q5_Meter_Faults!A14</f>
        <v>MTR-0017</v>
      </c>
      <c r="D51" s="14" t="str">
        <f aca="false">Q5_Meter_Faults!B14</f>
        <v>North</v>
      </c>
      <c r="E51" s="14" t="str">
        <f aca="false">Q5_Meter_Faults!C14</f>
        <v>Residential</v>
      </c>
      <c r="F51" s="15" t="n">
        <f aca="false">Q5_Meter_Faults!D14</f>
        <v>731</v>
      </c>
      <c r="G51" s="15" t="n">
        <f aca="false">Q5_Meter_Faults!E14</f>
        <v>49</v>
      </c>
      <c r="H51" s="15" t="n">
        <f aca="false">Q5_Meter_Faults!F14</f>
        <v>3030</v>
      </c>
      <c r="I51" s="15" t="n">
        <f aca="false">Q5_Meter_Faults!G14</f>
        <v>731</v>
      </c>
      <c r="J51" s="14" t="str">
        <f aca="false">Q5_Meter_Faults!H14</f>
        <v>Persistent fault</v>
      </c>
      <c r="K51" s="14"/>
    </row>
    <row r="53" customFormat="false" ht="15" hidden="false" customHeight="false" outlineLevel="0" collapsed="false">
      <c r="B53" s="16" t="s">
        <v>30</v>
      </c>
    </row>
  </sheetData>
  <mergeCells count="39">
    <mergeCell ref="B1:M1"/>
    <mergeCell ref="B2:M2"/>
    <mergeCell ref="C4:D4"/>
    <mergeCell ref="F4:G4"/>
    <mergeCell ref="I4:J4"/>
    <mergeCell ref="L4:M4"/>
    <mergeCell ref="B7:D7"/>
    <mergeCell ref="E7:G7"/>
    <mergeCell ref="H7:J7"/>
    <mergeCell ref="K7:M7"/>
    <mergeCell ref="B8:D8"/>
    <mergeCell ref="E8:G8"/>
    <mergeCell ref="H8:J8"/>
    <mergeCell ref="K8:M8"/>
    <mergeCell ref="B10:G10"/>
    <mergeCell ref="H10:M10"/>
    <mergeCell ref="D11:E11"/>
    <mergeCell ref="D12:E12"/>
    <mergeCell ref="B14:C14"/>
    <mergeCell ref="D14:E14"/>
    <mergeCell ref="F14:G14"/>
    <mergeCell ref="B15:C15"/>
    <mergeCell ref="D15:E15"/>
    <mergeCell ref="F15:G15"/>
    <mergeCell ref="D17:E17"/>
    <mergeCell ref="D18:E18"/>
    <mergeCell ref="B19:G20"/>
    <mergeCell ref="B40:M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</mergeCells>
  <conditionalFormatting sqref="B15 D12 D15 D18 F15">
    <cfRule type="colorScale" priority="2">
      <colorScale>
        <cfvo type="min" val="0"/>
        <cfvo type="percentile" val="50"/>
        <cfvo type="max" val="0"/>
        <color rgb="FFFFFFFF"/>
        <color rgb="FF9DD3DA"/>
        <color rgb="FF0E6E80"/>
      </colorScale>
    </cfRule>
  </conditionalFormatting>
  <conditionalFormatting sqref="J42:K51">
    <cfRule type="expression" priority="3" aboveAverage="0" equalAverage="0" bottom="0" percent="0" rank="0" text="" dxfId="0">
      <formula>$J42="Persistent fault"</formula>
    </cfRule>
    <cfRule type="expression" priority="4" aboveAverage="0" equalAverage="0" bottom="0" percent="0" rank="0" text="" dxfId="1">
      <formula>$J42="Intermittent"</formula>
    </cfRule>
  </conditionalFormatting>
  <conditionalFormatting sqref="H42:H51">
    <cfRule type="dataBar" priority="5">
      <dataBar showValue="1" minLength="10" maxLength="90">
        <cfvo type="num" val="0"/>
        <cfvo type="max" val="0"/>
        <color rgb="FFC0504D"/>
      </dataBar>
      <extLst>
        <ext xmlns:x14="http://schemas.microsoft.com/office/spreadsheetml/2009/9/main" uri="{B025F937-C7B1-47D3-B67F-A62EFF666E3E}">
          <x14:id>{33337F53-E64C-4637-89F9-212B33279498}</x14:id>
        </ext>
      </extLst>
    </cfRule>
  </conditionalFormatting>
  <dataValidations count="4">
    <dataValidation allowBlank="false" errorStyle="stop" operator="between" showDropDown="false" showErrorMessage="false" showInputMessage="false" sqref="C4" type="list">
      <formula1>Calc!$G$3:$G$8</formula1>
      <formula2>0</formula2>
    </dataValidation>
    <dataValidation allowBlank="false" errorStyle="stop" operator="between" showDropDown="false" showErrorMessage="false" showInputMessage="false" sqref="F4" type="list">
      <formula1>Calc!$I$3:$I$6</formula1>
      <formula2>0</formula2>
    </dataValidation>
    <dataValidation allowBlank="false" errorStyle="stop" operator="between" showDropDown="false" showErrorMessage="false" showInputMessage="false" sqref="I4" type="list">
      <formula1>Calc!$D$3:$D$26</formula1>
      <formula2>0</formula2>
    </dataValidation>
    <dataValidation allowBlank="false" errorStyle="stop" operator="between" showDropDown="false" showErrorMessage="false" showInputMessage="false" sqref="L4" type="list">
      <formula1>Calc!$D$3:$D$26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337F53-E64C-4637-89F9-212B33279498}">
            <x14:dataBar minLength="10" maxLength="90" axisPosition="none" gradient="true">
              <x14:cfvo type="num">
                <xm:f>0</xm:f>
              </x14:cfvo>
              <x14:cfvo type="max"/>
              <x14:negativeFillColor rgb="FFC0504D"/>
              <x14:axisColor rgb="FF000000"/>
            </x14:dataBar>
          </x14:cfRule>
          <xm:sqref>H42:H51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5"/>
  </cols>
  <sheetData>
    <row r="1" customFormat="false" ht="16.15" hidden="false" customHeight="false" outlineLevel="0" collapsed="false">
      <c r="A1" s="17" t="s">
        <v>31</v>
      </c>
    </row>
    <row r="2" customFormat="false" ht="15" hidden="false" customHeight="false" outlineLevel="0" collapsed="false">
      <c r="A2" s="18" t="s">
        <v>32</v>
      </c>
    </row>
    <row r="4" customFormat="false" ht="30" hidden="false" customHeight="true" outlineLevel="0" collapsed="false">
      <c r="A4" s="13" t="s">
        <v>2</v>
      </c>
      <c r="B4" s="13" t="s">
        <v>33</v>
      </c>
      <c r="C4" s="13" t="s">
        <v>34</v>
      </c>
      <c r="D4" s="13" t="s">
        <v>35</v>
      </c>
    </row>
    <row r="5" customFormat="false" ht="15" hidden="false" customHeight="false" outlineLevel="0" collapsed="false">
      <c r="A5" s="19" t="s">
        <v>18</v>
      </c>
      <c r="B5" s="20" t="n">
        <v>6106278.44</v>
      </c>
      <c r="C5" s="20" t="n">
        <v>8353.32</v>
      </c>
      <c r="D5" s="20" t="n">
        <v>379.7</v>
      </c>
    </row>
    <row r="6" customFormat="false" ht="15" hidden="false" customHeight="false" outlineLevel="0" collapsed="false">
      <c r="A6" s="19" t="s">
        <v>17</v>
      </c>
      <c r="B6" s="20" t="n">
        <v>3372965.49</v>
      </c>
      <c r="C6" s="20" t="n">
        <v>4614.18</v>
      </c>
      <c r="D6" s="20" t="n">
        <v>164.79</v>
      </c>
    </row>
    <row r="7" customFormat="false" ht="15" hidden="false" customHeight="false" outlineLevel="0" collapsed="false">
      <c r="A7" s="19" t="s">
        <v>15</v>
      </c>
      <c r="B7" s="20" t="n">
        <v>2327174.33</v>
      </c>
      <c r="C7" s="20" t="n">
        <v>3183.55</v>
      </c>
      <c r="D7" s="20" t="n">
        <v>132.65</v>
      </c>
    </row>
    <row r="8" customFormat="false" ht="15" hidden="false" customHeight="false" outlineLevel="0" collapsed="false">
      <c r="A8" s="19" t="s">
        <v>16</v>
      </c>
      <c r="B8" s="20" t="n">
        <v>1923850.98</v>
      </c>
      <c r="C8" s="20" t="n">
        <v>2631.81</v>
      </c>
      <c r="D8" s="20" t="n">
        <v>119.63</v>
      </c>
    </row>
    <row r="9" customFormat="false" ht="15" hidden="false" customHeight="false" outlineLevel="0" collapsed="false">
      <c r="A9" s="19" t="s">
        <v>19</v>
      </c>
      <c r="B9" s="20" t="n">
        <v>602884.38</v>
      </c>
      <c r="C9" s="20" t="n">
        <v>824.74</v>
      </c>
      <c r="D9" s="20" t="n">
        <v>34.36</v>
      </c>
    </row>
  </sheetData>
  <conditionalFormatting sqref="B5:B9">
    <cfRule type="dataBar" priority="2">
      <dataBar showValue="1" minLength="10" maxLength="90">
        <cfvo type="min" val="0"/>
        <cfvo type="max" val="0"/>
        <color rgb="FF1B7F8C"/>
      </dataBar>
      <extLst>
        <ext xmlns:x14="http://schemas.microsoft.com/office/spreadsheetml/2009/9/main" uri="{B025F937-C7B1-47D3-B67F-A62EFF666E3E}">
          <x14:id>{16EDC820-C15F-43EA-A25A-EFE8FFD2BA14}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DC820-C15F-43EA-A25A-EFE8FFD2BA14}">
            <x14:dataBar minLength="10" maxLength="90" axisPosition="none" gradient="true">
              <x14:cfvo type="min"/>
              <x14:cfvo type="max"/>
              <x14:negativeFillColor rgb="FF1B7F8C"/>
              <x14:axisColor rgb="FF000000"/>
            </x14:dataBar>
          </x14:cfRule>
          <xm:sqref>B5:B9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3" style="0" width="14"/>
  </cols>
  <sheetData>
    <row r="1" customFormat="false" ht="16.15" hidden="false" customHeight="false" outlineLevel="0" collapsed="false">
      <c r="A1" s="17" t="s">
        <v>36</v>
      </c>
    </row>
    <row r="2" customFormat="false" ht="15" hidden="false" customHeight="false" outlineLevel="0" collapsed="false">
      <c r="A2" s="18" t="s">
        <v>32</v>
      </c>
    </row>
    <row r="4" customFormat="false" ht="30" hidden="false" customHeight="true" outlineLevel="0" collapsed="false">
      <c r="A4" s="13" t="s">
        <v>37</v>
      </c>
      <c r="B4" s="13" t="s">
        <v>38</v>
      </c>
      <c r="C4" s="13" t="s">
        <v>23</v>
      </c>
      <c r="D4" s="13" t="s">
        <v>2</v>
      </c>
      <c r="E4" s="13" t="s">
        <v>33</v>
      </c>
    </row>
    <row r="5" customFormat="false" ht="15" hidden="false" customHeight="false" outlineLevel="0" collapsed="false">
      <c r="A5" s="19" t="s">
        <v>39</v>
      </c>
      <c r="B5" s="21" t="n">
        <v>1</v>
      </c>
      <c r="C5" s="19" t="s">
        <v>40</v>
      </c>
      <c r="D5" s="19" t="s">
        <v>16</v>
      </c>
      <c r="E5" s="20" t="n">
        <v>187447.15</v>
      </c>
    </row>
    <row r="6" customFormat="false" ht="15" hidden="false" customHeight="false" outlineLevel="0" collapsed="false">
      <c r="A6" s="19" t="s">
        <v>39</v>
      </c>
      <c r="B6" s="21" t="n">
        <v>2</v>
      </c>
      <c r="C6" s="19" t="s">
        <v>41</v>
      </c>
      <c r="D6" s="19" t="s">
        <v>16</v>
      </c>
      <c r="E6" s="20" t="n">
        <v>171469.5</v>
      </c>
    </row>
    <row r="7" customFormat="false" ht="15" hidden="false" customHeight="false" outlineLevel="0" collapsed="false">
      <c r="A7" s="19" t="s">
        <v>39</v>
      </c>
      <c r="B7" s="21" t="n">
        <v>3</v>
      </c>
      <c r="C7" s="19" t="s">
        <v>42</v>
      </c>
      <c r="D7" s="19" t="s">
        <v>17</v>
      </c>
      <c r="E7" s="20" t="n">
        <v>158406.34</v>
      </c>
    </row>
    <row r="8" customFormat="false" ht="15" hidden="false" customHeight="false" outlineLevel="0" collapsed="false">
      <c r="A8" s="19" t="s">
        <v>39</v>
      </c>
      <c r="B8" s="21" t="n">
        <v>4</v>
      </c>
      <c r="C8" s="19" t="s">
        <v>43</v>
      </c>
      <c r="D8" s="19" t="s">
        <v>17</v>
      </c>
      <c r="E8" s="20" t="n">
        <v>141527.06</v>
      </c>
    </row>
    <row r="9" customFormat="false" ht="15" hidden="false" customHeight="false" outlineLevel="0" collapsed="false">
      <c r="A9" s="19" t="s">
        <v>39</v>
      </c>
      <c r="B9" s="21" t="n">
        <v>5</v>
      </c>
      <c r="C9" s="19" t="s">
        <v>44</v>
      </c>
      <c r="D9" s="19" t="s">
        <v>17</v>
      </c>
      <c r="E9" s="20" t="n">
        <v>118987.07</v>
      </c>
    </row>
    <row r="10" customFormat="false" ht="15" hidden="false" customHeight="false" outlineLevel="0" collapsed="false">
      <c r="A10" s="19" t="s">
        <v>45</v>
      </c>
      <c r="B10" s="21" t="n">
        <v>1</v>
      </c>
      <c r="C10" s="19" t="s">
        <v>46</v>
      </c>
      <c r="D10" s="19" t="s">
        <v>18</v>
      </c>
      <c r="E10" s="20" t="n">
        <v>795192.08</v>
      </c>
    </row>
    <row r="11" customFormat="false" ht="15" hidden="false" customHeight="false" outlineLevel="0" collapsed="false">
      <c r="A11" s="19" t="s">
        <v>45</v>
      </c>
      <c r="B11" s="21" t="n">
        <v>2</v>
      </c>
      <c r="C11" s="19" t="s">
        <v>47</v>
      </c>
      <c r="D11" s="19" t="s">
        <v>18</v>
      </c>
      <c r="E11" s="20" t="n">
        <v>765308.96</v>
      </c>
    </row>
    <row r="12" customFormat="false" ht="15" hidden="false" customHeight="false" outlineLevel="0" collapsed="false">
      <c r="A12" s="19" t="s">
        <v>45</v>
      </c>
      <c r="B12" s="21" t="n">
        <v>3</v>
      </c>
      <c r="C12" s="19" t="s">
        <v>48</v>
      </c>
      <c r="D12" s="19" t="s">
        <v>18</v>
      </c>
      <c r="E12" s="20" t="n">
        <v>755968.92</v>
      </c>
    </row>
    <row r="13" customFormat="false" ht="15" hidden="false" customHeight="false" outlineLevel="0" collapsed="false">
      <c r="A13" s="19" t="s">
        <v>45</v>
      </c>
      <c r="B13" s="21" t="n">
        <v>4</v>
      </c>
      <c r="C13" s="19" t="s">
        <v>49</v>
      </c>
      <c r="D13" s="19" t="s">
        <v>18</v>
      </c>
      <c r="E13" s="20" t="n">
        <v>612228.24</v>
      </c>
    </row>
    <row r="14" customFormat="false" ht="15" hidden="false" customHeight="false" outlineLevel="0" collapsed="false">
      <c r="A14" s="19" t="s">
        <v>45</v>
      </c>
      <c r="B14" s="21" t="n">
        <v>5</v>
      </c>
      <c r="C14" s="19" t="s">
        <v>50</v>
      </c>
      <c r="D14" s="19" t="s">
        <v>17</v>
      </c>
      <c r="E14" s="20" t="n">
        <v>599355.97</v>
      </c>
    </row>
    <row r="15" customFormat="false" ht="15" hidden="false" customHeight="false" outlineLevel="0" collapsed="false">
      <c r="A15" s="19" t="s">
        <v>51</v>
      </c>
      <c r="B15" s="21" t="n">
        <v>1</v>
      </c>
      <c r="C15" s="19" t="s">
        <v>52</v>
      </c>
      <c r="D15" s="19" t="s">
        <v>16</v>
      </c>
      <c r="E15" s="20" t="n">
        <v>23582.93</v>
      </c>
    </row>
    <row r="16" customFormat="false" ht="15" hidden="false" customHeight="false" outlineLevel="0" collapsed="false">
      <c r="A16" s="19" t="s">
        <v>51</v>
      </c>
      <c r="B16" s="21" t="n">
        <v>2</v>
      </c>
      <c r="C16" s="19" t="s">
        <v>53</v>
      </c>
      <c r="D16" s="19" t="s">
        <v>15</v>
      </c>
      <c r="E16" s="20" t="n">
        <v>23561.08</v>
      </c>
    </row>
    <row r="17" customFormat="false" ht="15" hidden="false" customHeight="false" outlineLevel="0" collapsed="false">
      <c r="A17" s="19" t="s">
        <v>51</v>
      </c>
      <c r="B17" s="21" t="n">
        <v>3</v>
      </c>
      <c r="C17" s="19" t="s">
        <v>54</v>
      </c>
      <c r="D17" s="19" t="s">
        <v>16</v>
      </c>
      <c r="E17" s="20" t="n">
        <v>23222.52</v>
      </c>
    </row>
    <row r="18" customFormat="false" ht="15" hidden="false" customHeight="false" outlineLevel="0" collapsed="false">
      <c r="A18" s="19" t="s">
        <v>51</v>
      </c>
      <c r="B18" s="21" t="n">
        <v>4</v>
      </c>
      <c r="C18" s="19" t="s">
        <v>55</v>
      </c>
      <c r="D18" s="19" t="s">
        <v>18</v>
      </c>
      <c r="E18" s="20" t="n">
        <v>22686.57</v>
      </c>
    </row>
    <row r="19" customFormat="false" ht="15" hidden="false" customHeight="false" outlineLevel="0" collapsed="false">
      <c r="A19" s="19" t="s">
        <v>51</v>
      </c>
      <c r="B19" s="21" t="n">
        <v>5</v>
      </c>
      <c r="C19" s="19" t="s">
        <v>56</v>
      </c>
      <c r="D19" s="19" t="s">
        <v>19</v>
      </c>
      <c r="E19" s="20" t="n">
        <v>21631.06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23"/>
  </cols>
  <sheetData>
    <row r="1" customFormat="false" ht="16.15" hidden="false" customHeight="false" outlineLevel="0" collapsed="false">
      <c r="A1" s="17" t="s">
        <v>57</v>
      </c>
    </row>
    <row r="2" customFormat="false" ht="15" hidden="false" customHeight="false" outlineLevel="0" collapsed="false">
      <c r="A2" s="18" t="s">
        <v>32</v>
      </c>
    </row>
    <row r="4" customFormat="false" ht="30" hidden="false" customHeight="true" outlineLevel="0" collapsed="false">
      <c r="A4" s="13" t="s">
        <v>58</v>
      </c>
      <c r="B4" s="13" t="s">
        <v>2</v>
      </c>
      <c r="C4" s="13" t="s">
        <v>33</v>
      </c>
      <c r="D4" s="13" t="s">
        <v>59</v>
      </c>
    </row>
    <row r="5" customFormat="false" ht="15" hidden="false" customHeight="false" outlineLevel="0" collapsed="false">
      <c r="A5" s="19" t="s">
        <v>60</v>
      </c>
      <c r="B5" s="19" t="s">
        <v>17</v>
      </c>
      <c r="C5" s="20" t="n">
        <v>109464.07</v>
      </c>
      <c r="D5" s="20" t="n">
        <v>126.11</v>
      </c>
    </row>
    <row r="6" customFormat="false" ht="15" hidden="false" customHeight="false" outlineLevel="0" collapsed="false">
      <c r="A6" s="19" t="s">
        <v>60</v>
      </c>
      <c r="B6" s="19" t="s">
        <v>18</v>
      </c>
      <c r="C6" s="20" t="n">
        <v>199348.78</v>
      </c>
      <c r="D6" s="20" t="n">
        <v>292.3</v>
      </c>
    </row>
    <row r="7" customFormat="false" ht="15" hidden="false" customHeight="false" outlineLevel="0" collapsed="false">
      <c r="A7" s="19" t="s">
        <v>60</v>
      </c>
      <c r="B7" s="19" t="s">
        <v>15</v>
      </c>
      <c r="C7" s="20" t="n">
        <v>75678.55</v>
      </c>
      <c r="D7" s="20" t="n">
        <v>101.72</v>
      </c>
    </row>
    <row r="8" customFormat="false" ht="15" hidden="false" customHeight="false" outlineLevel="0" collapsed="false">
      <c r="A8" s="19" t="s">
        <v>60</v>
      </c>
      <c r="B8" s="19" t="s">
        <v>19</v>
      </c>
      <c r="C8" s="20" t="n">
        <v>19450.48</v>
      </c>
      <c r="D8" s="20" t="n">
        <v>26.14</v>
      </c>
    </row>
    <row r="9" customFormat="false" ht="15" hidden="false" customHeight="false" outlineLevel="0" collapsed="false">
      <c r="A9" s="19" t="s">
        <v>60</v>
      </c>
      <c r="B9" s="19" t="s">
        <v>16</v>
      </c>
      <c r="C9" s="20" t="n">
        <v>62489.44</v>
      </c>
      <c r="D9" s="20" t="n">
        <v>91.63</v>
      </c>
    </row>
    <row r="10" customFormat="false" ht="15" hidden="false" customHeight="false" outlineLevel="0" collapsed="false">
      <c r="A10" s="19" t="s">
        <v>61</v>
      </c>
      <c r="B10" s="19" t="s">
        <v>17</v>
      </c>
      <c r="C10" s="20" t="n">
        <v>110553.42</v>
      </c>
      <c r="D10" s="20" t="n">
        <v>141.01</v>
      </c>
    </row>
    <row r="11" customFormat="false" ht="15" hidden="false" customHeight="false" outlineLevel="0" collapsed="false">
      <c r="A11" s="19" t="s">
        <v>61</v>
      </c>
      <c r="B11" s="19" t="s">
        <v>18</v>
      </c>
      <c r="C11" s="20" t="n">
        <v>198944.26</v>
      </c>
      <c r="D11" s="20" t="n">
        <v>322.96</v>
      </c>
    </row>
    <row r="12" customFormat="false" ht="15" hidden="false" customHeight="false" outlineLevel="0" collapsed="false">
      <c r="A12" s="19" t="s">
        <v>61</v>
      </c>
      <c r="B12" s="19" t="s">
        <v>15</v>
      </c>
      <c r="C12" s="20" t="n">
        <v>75350.02</v>
      </c>
      <c r="D12" s="20" t="n">
        <v>112.13</v>
      </c>
    </row>
    <row r="13" customFormat="false" ht="15" hidden="false" customHeight="false" outlineLevel="0" collapsed="false">
      <c r="A13" s="19" t="s">
        <v>61</v>
      </c>
      <c r="B13" s="19" t="s">
        <v>19</v>
      </c>
      <c r="C13" s="20" t="n">
        <v>19877.76</v>
      </c>
      <c r="D13" s="20" t="n">
        <v>29.58</v>
      </c>
    </row>
    <row r="14" customFormat="false" ht="15" hidden="false" customHeight="false" outlineLevel="0" collapsed="false">
      <c r="A14" s="19" t="s">
        <v>61</v>
      </c>
      <c r="B14" s="19" t="s">
        <v>16</v>
      </c>
      <c r="C14" s="20" t="n">
        <v>62163.77</v>
      </c>
      <c r="D14" s="20" t="n">
        <v>100.92</v>
      </c>
    </row>
    <row r="15" customFormat="false" ht="15" hidden="false" customHeight="false" outlineLevel="0" collapsed="false">
      <c r="A15" s="19" t="s">
        <v>62</v>
      </c>
      <c r="B15" s="19" t="s">
        <v>17</v>
      </c>
      <c r="C15" s="20" t="n">
        <v>137567.68</v>
      </c>
      <c r="D15" s="20" t="n">
        <v>158.49</v>
      </c>
    </row>
    <row r="16" customFormat="false" ht="15" hidden="false" customHeight="false" outlineLevel="0" collapsed="false">
      <c r="A16" s="19" t="s">
        <v>62</v>
      </c>
      <c r="B16" s="19" t="s">
        <v>18</v>
      </c>
      <c r="C16" s="20" t="n">
        <v>248870.18</v>
      </c>
      <c r="D16" s="20" t="n">
        <v>364.91</v>
      </c>
    </row>
    <row r="17" customFormat="false" ht="15" hidden="false" customHeight="false" outlineLevel="0" collapsed="false">
      <c r="A17" s="19" t="s">
        <v>62</v>
      </c>
      <c r="B17" s="19" t="s">
        <v>15</v>
      </c>
      <c r="C17" s="20" t="n">
        <v>95487.46</v>
      </c>
      <c r="D17" s="20" t="n">
        <v>128.34</v>
      </c>
    </row>
    <row r="18" customFormat="false" ht="15" hidden="false" customHeight="false" outlineLevel="0" collapsed="false">
      <c r="A18" s="19" t="s">
        <v>62</v>
      </c>
      <c r="B18" s="19" t="s">
        <v>19</v>
      </c>
      <c r="C18" s="20" t="n">
        <v>24667.92</v>
      </c>
      <c r="D18" s="20" t="n">
        <v>33.16</v>
      </c>
    </row>
    <row r="19" customFormat="false" ht="15" hidden="false" customHeight="false" outlineLevel="0" collapsed="false">
      <c r="A19" s="19" t="s">
        <v>62</v>
      </c>
      <c r="B19" s="19" t="s">
        <v>16</v>
      </c>
      <c r="C19" s="20" t="n">
        <v>79640.6</v>
      </c>
      <c r="D19" s="20" t="n">
        <v>116.78</v>
      </c>
    </row>
    <row r="20" customFormat="false" ht="15" hidden="false" customHeight="false" outlineLevel="0" collapsed="false">
      <c r="A20" s="19" t="s">
        <v>63</v>
      </c>
      <c r="B20" s="19" t="s">
        <v>17</v>
      </c>
      <c r="C20" s="20" t="n">
        <v>150037.4</v>
      </c>
      <c r="D20" s="20" t="n">
        <v>178.62</v>
      </c>
    </row>
    <row r="21" customFormat="false" ht="15" hidden="false" customHeight="false" outlineLevel="0" collapsed="false">
      <c r="A21" s="19" t="s">
        <v>63</v>
      </c>
      <c r="B21" s="19" t="s">
        <v>18</v>
      </c>
      <c r="C21" s="20" t="n">
        <v>272809.04</v>
      </c>
      <c r="D21" s="20" t="n">
        <v>413.35</v>
      </c>
    </row>
    <row r="22" customFormat="false" ht="15" hidden="false" customHeight="false" outlineLevel="0" collapsed="false">
      <c r="A22" s="19" t="s">
        <v>63</v>
      </c>
      <c r="B22" s="19" t="s">
        <v>15</v>
      </c>
      <c r="C22" s="20" t="n">
        <v>104763.17</v>
      </c>
      <c r="D22" s="20" t="n">
        <v>145.5</v>
      </c>
    </row>
    <row r="23" customFormat="false" ht="15" hidden="false" customHeight="false" outlineLevel="0" collapsed="false">
      <c r="A23" s="19" t="s">
        <v>63</v>
      </c>
      <c r="B23" s="19" t="s">
        <v>19</v>
      </c>
      <c r="C23" s="20" t="n">
        <v>26389.91</v>
      </c>
      <c r="D23" s="20" t="n">
        <v>36.65</v>
      </c>
    </row>
    <row r="24" customFormat="false" ht="15" hidden="false" customHeight="false" outlineLevel="0" collapsed="false">
      <c r="A24" s="19" t="s">
        <v>63</v>
      </c>
      <c r="B24" s="19" t="s">
        <v>16</v>
      </c>
      <c r="C24" s="20" t="n">
        <v>84708.98</v>
      </c>
      <c r="D24" s="20" t="n">
        <v>128.35</v>
      </c>
    </row>
    <row r="25" customFormat="false" ht="15" hidden="false" customHeight="false" outlineLevel="0" collapsed="false">
      <c r="A25" s="19" t="s">
        <v>64</v>
      </c>
      <c r="B25" s="19" t="s">
        <v>17</v>
      </c>
      <c r="C25" s="20" t="n">
        <v>171062.3</v>
      </c>
      <c r="D25" s="20" t="n">
        <v>197.08</v>
      </c>
    </row>
    <row r="26" customFormat="false" ht="15" hidden="false" customHeight="false" outlineLevel="0" collapsed="false">
      <c r="A26" s="19" t="s">
        <v>64</v>
      </c>
      <c r="B26" s="19" t="s">
        <v>18</v>
      </c>
      <c r="C26" s="20" t="n">
        <v>312921.66</v>
      </c>
      <c r="D26" s="20" t="n">
        <v>458.83</v>
      </c>
    </row>
    <row r="27" customFormat="false" ht="15" hidden="false" customHeight="false" outlineLevel="0" collapsed="false">
      <c r="A27" s="19" t="s">
        <v>64</v>
      </c>
      <c r="B27" s="19" t="s">
        <v>15</v>
      </c>
      <c r="C27" s="20" t="n">
        <v>119351.93</v>
      </c>
      <c r="D27" s="20" t="n">
        <v>160.42</v>
      </c>
    </row>
    <row r="28" customFormat="false" ht="15" hidden="false" customHeight="false" outlineLevel="0" collapsed="false">
      <c r="A28" s="19" t="s">
        <v>64</v>
      </c>
      <c r="B28" s="19" t="s">
        <v>19</v>
      </c>
      <c r="C28" s="20" t="n">
        <v>30564.14</v>
      </c>
      <c r="D28" s="20" t="n">
        <v>41.08</v>
      </c>
    </row>
    <row r="29" customFormat="false" ht="15" hidden="false" customHeight="false" outlineLevel="0" collapsed="false">
      <c r="A29" s="19" t="s">
        <v>64</v>
      </c>
      <c r="B29" s="19" t="s">
        <v>16</v>
      </c>
      <c r="C29" s="20" t="n">
        <v>98269.47</v>
      </c>
      <c r="D29" s="20" t="n">
        <v>144.09</v>
      </c>
    </row>
    <row r="30" customFormat="false" ht="15" hidden="false" customHeight="false" outlineLevel="0" collapsed="false">
      <c r="A30" s="19" t="s">
        <v>65</v>
      </c>
      <c r="B30" s="19" t="s">
        <v>17</v>
      </c>
      <c r="C30" s="20" t="n">
        <v>171904.32</v>
      </c>
      <c r="D30" s="20" t="n">
        <v>204.65</v>
      </c>
    </row>
    <row r="31" customFormat="false" ht="15" hidden="false" customHeight="false" outlineLevel="0" collapsed="false">
      <c r="A31" s="19" t="s">
        <v>65</v>
      </c>
      <c r="B31" s="19" t="s">
        <v>18</v>
      </c>
      <c r="C31" s="20" t="n">
        <v>314429.19</v>
      </c>
      <c r="D31" s="20" t="n">
        <v>476.41</v>
      </c>
    </row>
    <row r="32" customFormat="false" ht="15" hidden="false" customHeight="false" outlineLevel="0" collapsed="false">
      <c r="A32" s="19" t="s">
        <v>65</v>
      </c>
      <c r="B32" s="19" t="s">
        <v>15</v>
      </c>
      <c r="C32" s="20" t="n">
        <v>118159.94</v>
      </c>
      <c r="D32" s="20" t="n">
        <v>164.11</v>
      </c>
    </row>
    <row r="33" customFormat="false" ht="15" hidden="false" customHeight="false" outlineLevel="0" collapsed="false">
      <c r="A33" s="19" t="s">
        <v>65</v>
      </c>
      <c r="B33" s="19" t="s">
        <v>19</v>
      </c>
      <c r="C33" s="20" t="n">
        <v>30663.15</v>
      </c>
      <c r="D33" s="20" t="n">
        <v>42.59</v>
      </c>
    </row>
    <row r="34" customFormat="false" ht="15" hidden="false" customHeight="false" outlineLevel="0" collapsed="false">
      <c r="A34" s="19" t="s">
        <v>65</v>
      </c>
      <c r="B34" s="19" t="s">
        <v>16</v>
      </c>
      <c r="C34" s="20" t="n">
        <v>97693.65</v>
      </c>
      <c r="D34" s="20" t="n">
        <v>148.02</v>
      </c>
    </row>
    <row r="35" customFormat="false" ht="15" hidden="false" customHeight="false" outlineLevel="0" collapsed="false">
      <c r="A35" s="19" t="s">
        <v>66</v>
      </c>
      <c r="B35" s="19" t="s">
        <v>17</v>
      </c>
      <c r="C35" s="20" t="n">
        <v>170350.5</v>
      </c>
      <c r="D35" s="20" t="n">
        <v>196.26</v>
      </c>
    </row>
    <row r="36" customFormat="false" ht="15" hidden="false" customHeight="false" outlineLevel="0" collapsed="false">
      <c r="A36" s="19" t="s">
        <v>66</v>
      </c>
      <c r="B36" s="19" t="s">
        <v>18</v>
      </c>
      <c r="C36" s="20" t="n">
        <v>309638.11</v>
      </c>
      <c r="D36" s="20" t="n">
        <v>454.01</v>
      </c>
    </row>
    <row r="37" customFormat="false" ht="15" hidden="false" customHeight="false" outlineLevel="0" collapsed="false">
      <c r="A37" s="19" t="s">
        <v>66</v>
      </c>
      <c r="B37" s="19" t="s">
        <v>15</v>
      </c>
      <c r="C37" s="20" t="n">
        <v>119405.98</v>
      </c>
      <c r="D37" s="20" t="n">
        <v>160.49</v>
      </c>
    </row>
    <row r="38" customFormat="false" ht="15" hidden="false" customHeight="false" outlineLevel="0" collapsed="false">
      <c r="A38" s="19" t="s">
        <v>66</v>
      </c>
      <c r="B38" s="19" t="s">
        <v>19</v>
      </c>
      <c r="C38" s="20" t="n">
        <v>31014.16</v>
      </c>
      <c r="D38" s="20" t="n">
        <v>41.69</v>
      </c>
    </row>
    <row r="39" customFormat="false" ht="15" hidden="false" customHeight="false" outlineLevel="0" collapsed="false">
      <c r="A39" s="19" t="s">
        <v>66</v>
      </c>
      <c r="B39" s="19" t="s">
        <v>16</v>
      </c>
      <c r="C39" s="20" t="n">
        <v>96606.49</v>
      </c>
      <c r="D39" s="20" t="n">
        <v>141.65</v>
      </c>
    </row>
    <row r="40" customFormat="false" ht="15" hidden="false" customHeight="false" outlineLevel="0" collapsed="false">
      <c r="A40" s="19" t="s">
        <v>67</v>
      </c>
      <c r="B40" s="19" t="s">
        <v>17</v>
      </c>
      <c r="C40" s="20" t="n">
        <v>165129.8</v>
      </c>
      <c r="D40" s="20" t="n">
        <v>190.24</v>
      </c>
    </row>
    <row r="41" customFormat="false" ht="15" hidden="false" customHeight="false" outlineLevel="0" collapsed="false">
      <c r="A41" s="19" t="s">
        <v>67</v>
      </c>
      <c r="B41" s="19" t="s">
        <v>18</v>
      </c>
      <c r="C41" s="20" t="n">
        <v>295994.47</v>
      </c>
      <c r="D41" s="20" t="n">
        <v>434.01</v>
      </c>
    </row>
    <row r="42" customFormat="false" ht="15" hidden="false" customHeight="false" outlineLevel="0" collapsed="false">
      <c r="A42" s="19" t="s">
        <v>67</v>
      </c>
      <c r="B42" s="19" t="s">
        <v>15</v>
      </c>
      <c r="C42" s="20" t="n">
        <v>112187.63</v>
      </c>
      <c r="D42" s="20" t="n">
        <v>150.79</v>
      </c>
    </row>
    <row r="43" customFormat="false" ht="15" hidden="false" customHeight="false" outlineLevel="0" collapsed="false">
      <c r="A43" s="19" t="s">
        <v>67</v>
      </c>
      <c r="B43" s="19" t="s">
        <v>19</v>
      </c>
      <c r="C43" s="20" t="n">
        <v>29117.35</v>
      </c>
      <c r="D43" s="20" t="n">
        <v>39.14</v>
      </c>
    </row>
    <row r="44" customFormat="false" ht="15" hidden="false" customHeight="false" outlineLevel="0" collapsed="false">
      <c r="A44" s="19" t="s">
        <v>67</v>
      </c>
      <c r="B44" s="19" t="s">
        <v>16</v>
      </c>
      <c r="C44" s="20" t="n">
        <v>93028.92</v>
      </c>
      <c r="D44" s="20" t="n">
        <v>136.41</v>
      </c>
    </row>
    <row r="45" customFormat="false" ht="15" hidden="false" customHeight="false" outlineLevel="0" collapsed="false">
      <c r="A45" s="19" t="s">
        <v>68</v>
      </c>
      <c r="B45" s="19" t="s">
        <v>17</v>
      </c>
      <c r="C45" s="20" t="n">
        <v>139624.9</v>
      </c>
      <c r="D45" s="20" t="n">
        <v>166.22</v>
      </c>
    </row>
    <row r="46" customFormat="false" ht="15" hidden="false" customHeight="false" outlineLevel="0" collapsed="false">
      <c r="A46" s="19" t="s">
        <v>68</v>
      </c>
      <c r="B46" s="19" t="s">
        <v>18</v>
      </c>
      <c r="C46" s="20" t="n">
        <v>251539.26</v>
      </c>
      <c r="D46" s="20" t="n">
        <v>381.12</v>
      </c>
    </row>
    <row r="47" customFormat="false" ht="15" hidden="false" customHeight="false" outlineLevel="0" collapsed="false">
      <c r="A47" s="19" t="s">
        <v>68</v>
      </c>
      <c r="B47" s="19" t="s">
        <v>15</v>
      </c>
      <c r="C47" s="20" t="n">
        <v>96788.87</v>
      </c>
      <c r="D47" s="20" t="n">
        <v>134.43</v>
      </c>
    </row>
    <row r="48" customFormat="false" ht="15" hidden="false" customHeight="false" outlineLevel="0" collapsed="false">
      <c r="A48" s="19" t="s">
        <v>68</v>
      </c>
      <c r="B48" s="19" t="s">
        <v>19</v>
      </c>
      <c r="C48" s="20" t="n">
        <v>25214.54</v>
      </c>
      <c r="D48" s="20" t="n">
        <v>35.02</v>
      </c>
    </row>
    <row r="49" customFormat="false" ht="15" hidden="false" customHeight="false" outlineLevel="0" collapsed="false">
      <c r="A49" s="19" t="s">
        <v>68</v>
      </c>
      <c r="B49" s="19" t="s">
        <v>16</v>
      </c>
      <c r="C49" s="20" t="n">
        <v>80571.15</v>
      </c>
      <c r="D49" s="20" t="n">
        <v>122.08</v>
      </c>
    </row>
    <row r="50" customFormat="false" ht="15" hidden="false" customHeight="false" outlineLevel="0" collapsed="false">
      <c r="A50" s="19" t="s">
        <v>69</v>
      </c>
      <c r="B50" s="19" t="s">
        <v>17</v>
      </c>
      <c r="C50" s="20" t="n">
        <v>127861.56</v>
      </c>
      <c r="D50" s="20" t="n">
        <v>147.31</v>
      </c>
    </row>
    <row r="51" customFormat="false" ht="15" hidden="false" customHeight="false" outlineLevel="0" collapsed="false">
      <c r="A51" s="19" t="s">
        <v>69</v>
      </c>
      <c r="B51" s="19" t="s">
        <v>18</v>
      </c>
      <c r="C51" s="20" t="n">
        <v>228138.74</v>
      </c>
      <c r="D51" s="20" t="n">
        <v>334.51</v>
      </c>
    </row>
    <row r="52" customFormat="false" ht="15" hidden="false" customHeight="false" outlineLevel="0" collapsed="false">
      <c r="A52" s="19" t="s">
        <v>69</v>
      </c>
      <c r="B52" s="19" t="s">
        <v>15</v>
      </c>
      <c r="C52" s="20" t="n">
        <v>88627.58</v>
      </c>
      <c r="D52" s="20" t="n">
        <v>119.12</v>
      </c>
    </row>
    <row r="53" customFormat="false" ht="15" hidden="false" customHeight="false" outlineLevel="0" collapsed="false">
      <c r="A53" s="19" t="s">
        <v>69</v>
      </c>
      <c r="B53" s="19" t="s">
        <v>19</v>
      </c>
      <c r="C53" s="20" t="n">
        <v>22620.52</v>
      </c>
      <c r="D53" s="20" t="n">
        <v>30.4</v>
      </c>
    </row>
    <row r="54" customFormat="false" ht="15" hidden="false" customHeight="false" outlineLevel="0" collapsed="false">
      <c r="A54" s="19" t="s">
        <v>69</v>
      </c>
      <c r="B54" s="19" t="s">
        <v>16</v>
      </c>
      <c r="C54" s="20" t="n">
        <v>72333.22</v>
      </c>
      <c r="D54" s="20" t="n">
        <v>106.06</v>
      </c>
    </row>
    <row r="55" customFormat="false" ht="15" hidden="false" customHeight="false" outlineLevel="0" collapsed="false">
      <c r="A55" s="19" t="s">
        <v>70</v>
      </c>
      <c r="B55" s="19" t="s">
        <v>17</v>
      </c>
      <c r="C55" s="20" t="n">
        <v>109581.66</v>
      </c>
      <c r="D55" s="20" t="n">
        <v>130.45</v>
      </c>
    </row>
    <row r="56" customFormat="false" ht="15" hidden="false" customHeight="false" outlineLevel="0" collapsed="false">
      <c r="A56" s="19" t="s">
        <v>70</v>
      </c>
      <c r="B56" s="19" t="s">
        <v>18</v>
      </c>
      <c r="C56" s="20" t="n">
        <v>201942.1</v>
      </c>
      <c r="D56" s="20" t="n">
        <v>305.97</v>
      </c>
    </row>
    <row r="57" customFormat="false" ht="15" hidden="false" customHeight="false" outlineLevel="0" collapsed="false">
      <c r="A57" s="19" t="s">
        <v>70</v>
      </c>
      <c r="B57" s="19" t="s">
        <v>15</v>
      </c>
      <c r="C57" s="20" t="n">
        <v>76788.28</v>
      </c>
      <c r="D57" s="20" t="n">
        <v>106.65</v>
      </c>
    </row>
    <row r="58" customFormat="false" ht="15" hidden="false" customHeight="false" outlineLevel="0" collapsed="false">
      <c r="A58" s="19" t="s">
        <v>70</v>
      </c>
      <c r="B58" s="19" t="s">
        <v>19</v>
      </c>
      <c r="C58" s="20" t="n">
        <v>19868.01</v>
      </c>
      <c r="D58" s="20" t="n">
        <v>27.59</v>
      </c>
    </row>
    <row r="59" customFormat="false" ht="15" hidden="false" customHeight="false" outlineLevel="0" collapsed="false">
      <c r="A59" s="19" t="s">
        <v>70</v>
      </c>
      <c r="B59" s="19" t="s">
        <v>16</v>
      </c>
      <c r="C59" s="20" t="n">
        <v>63241.68</v>
      </c>
      <c r="D59" s="20" t="n">
        <v>95.82</v>
      </c>
    </row>
    <row r="60" customFormat="false" ht="15" hidden="false" customHeight="false" outlineLevel="0" collapsed="false">
      <c r="A60" s="19" t="s">
        <v>71</v>
      </c>
      <c r="B60" s="19" t="s">
        <v>17</v>
      </c>
      <c r="C60" s="20" t="n">
        <v>106086.78</v>
      </c>
      <c r="D60" s="20" t="n">
        <v>122.22</v>
      </c>
    </row>
    <row r="61" customFormat="false" ht="15" hidden="false" customHeight="false" outlineLevel="0" collapsed="false">
      <c r="A61" s="19" t="s">
        <v>71</v>
      </c>
      <c r="B61" s="19" t="s">
        <v>18</v>
      </c>
      <c r="C61" s="20" t="n">
        <v>192471.37</v>
      </c>
      <c r="D61" s="20" t="n">
        <v>282.22</v>
      </c>
    </row>
    <row r="62" customFormat="false" ht="15" hidden="false" customHeight="false" outlineLevel="0" collapsed="false">
      <c r="A62" s="19" t="s">
        <v>71</v>
      </c>
      <c r="B62" s="19" t="s">
        <v>15</v>
      </c>
      <c r="C62" s="20" t="n">
        <v>74026.04</v>
      </c>
      <c r="D62" s="20" t="n">
        <v>99.5</v>
      </c>
    </row>
    <row r="63" customFormat="false" ht="15" hidden="false" customHeight="false" outlineLevel="0" collapsed="false">
      <c r="A63" s="19" t="s">
        <v>71</v>
      </c>
      <c r="B63" s="19" t="s">
        <v>19</v>
      </c>
      <c r="C63" s="20" t="n">
        <v>19012.47</v>
      </c>
      <c r="D63" s="20" t="n">
        <v>25.55</v>
      </c>
    </row>
    <row r="64" customFormat="false" ht="15" hidden="false" customHeight="false" outlineLevel="0" collapsed="false">
      <c r="A64" s="19" t="s">
        <v>71</v>
      </c>
      <c r="B64" s="19" t="s">
        <v>16</v>
      </c>
      <c r="C64" s="20" t="n">
        <v>60989.16</v>
      </c>
      <c r="D64" s="20" t="n">
        <v>89.43</v>
      </c>
    </row>
    <row r="65" customFormat="false" ht="15" hidden="false" customHeight="false" outlineLevel="0" collapsed="false">
      <c r="A65" s="19" t="s">
        <v>72</v>
      </c>
      <c r="B65" s="19" t="s">
        <v>17</v>
      </c>
      <c r="C65" s="20" t="n">
        <v>111988.09</v>
      </c>
      <c r="D65" s="20" t="n">
        <v>129.02</v>
      </c>
    </row>
    <row r="66" customFormat="false" ht="15" hidden="false" customHeight="false" outlineLevel="0" collapsed="false">
      <c r="A66" s="19" t="s">
        <v>72</v>
      </c>
      <c r="B66" s="19" t="s">
        <v>18</v>
      </c>
      <c r="C66" s="20" t="n">
        <v>205127.15</v>
      </c>
      <c r="D66" s="20" t="n">
        <v>300.77</v>
      </c>
    </row>
    <row r="67" customFormat="false" ht="15" hidden="false" customHeight="false" outlineLevel="0" collapsed="false">
      <c r="A67" s="19" t="s">
        <v>72</v>
      </c>
      <c r="B67" s="19" t="s">
        <v>15</v>
      </c>
      <c r="C67" s="20" t="n">
        <v>77560.97</v>
      </c>
      <c r="D67" s="20" t="n">
        <v>104.25</v>
      </c>
    </row>
    <row r="68" customFormat="false" ht="15" hidden="false" customHeight="false" outlineLevel="0" collapsed="false">
      <c r="A68" s="19" t="s">
        <v>72</v>
      </c>
      <c r="B68" s="19" t="s">
        <v>19</v>
      </c>
      <c r="C68" s="20" t="n">
        <v>19828.62</v>
      </c>
      <c r="D68" s="20" t="n">
        <v>26.65</v>
      </c>
    </row>
    <row r="69" customFormat="false" ht="15" hidden="false" customHeight="false" outlineLevel="0" collapsed="false">
      <c r="A69" s="19" t="s">
        <v>72</v>
      </c>
      <c r="B69" s="19" t="s">
        <v>16</v>
      </c>
      <c r="C69" s="20" t="n">
        <v>64643.71</v>
      </c>
      <c r="D69" s="20" t="n">
        <v>94.79</v>
      </c>
    </row>
    <row r="70" customFormat="false" ht="15" hidden="false" customHeight="false" outlineLevel="0" collapsed="false">
      <c r="A70" s="19" t="s">
        <v>73</v>
      </c>
      <c r="B70" s="19" t="s">
        <v>17</v>
      </c>
      <c r="C70" s="20" t="n">
        <v>117357.45</v>
      </c>
      <c r="D70" s="20" t="n">
        <v>144.53</v>
      </c>
    </row>
    <row r="71" customFormat="false" ht="15" hidden="false" customHeight="false" outlineLevel="0" collapsed="false">
      <c r="A71" s="19" t="s">
        <v>73</v>
      </c>
      <c r="B71" s="19" t="s">
        <v>18</v>
      </c>
      <c r="C71" s="20" t="n">
        <v>210999.37</v>
      </c>
      <c r="D71" s="20" t="n">
        <v>330.72</v>
      </c>
    </row>
    <row r="72" customFormat="false" ht="15" hidden="false" customHeight="false" outlineLevel="0" collapsed="false">
      <c r="A72" s="19" t="s">
        <v>73</v>
      </c>
      <c r="B72" s="19" t="s">
        <v>15</v>
      </c>
      <c r="C72" s="20" t="n">
        <v>80508.54</v>
      </c>
      <c r="D72" s="20" t="n">
        <v>115.67</v>
      </c>
    </row>
    <row r="73" customFormat="false" ht="15" hidden="false" customHeight="false" outlineLevel="0" collapsed="false">
      <c r="A73" s="19" t="s">
        <v>73</v>
      </c>
      <c r="B73" s="19" t="s">
        <v>19</v>
      </c>
      <c r="C73" s="20" t="n">
        <v>20930.74</v>
      </c>
      <c r="D73" s="20" t="n">
        <v>30.07</v>
      </c>
    </row>
    <row r="74" customFormat="false" ht="15" hidden="false" customHeight="false" outlineLevel="0" collapsed="false">
      <c r="A74" s="19" t="s">
        <v>73</v>
      </c>
      <c r="B74" s="19" t="s">
        <v>16</v>
      </c>
      <c r="C74" s="20" t="n">
        <v>65804.23</v>
      </c>
      <c r="D74" s="20" t="n">
        <v>103.14</v>
      </c>
    </row>
    <row r="75" customFormat="false" ht="15" hidden="false" customHeight="false" outlineLevel="0" collapsed="false">
      <c r="A75" s="19" t="s">
        <v>74</v>
      </c>
      <c r="B75" s="19" t="s">
        <v>17</v>
      </c>
      <c r="C75" s="20" t="n">
        <v>139447.7</v>
      </c>
      <c r="D75" s="20" t="n">
        <v>160.65</v>
      </c>
    </row>
    <row r="76" customFormat="false" ht="15" hidden="false" customHeight="false" outlineLevel="0" collapsed="false">
      <c r="A76" s="19" t="s">
        <v>74</v>
      </c>
      <c r="B76" s="19" t="s">
        <v>18</v>
      </c>
      <c r="C76" s="20" t="n">
        <v>253442.67</v>
      </c>
      <c r="D76" s="20" t="n">
        <v>371.62</v>
      </c>
    </row>
    <row r="77" customFormat="false" ht="15" hidden="false" customHeight="false" outlineLevel="0" collapsed="false">
      <c r="A77" s="19" t="s">
        <v>74</v>
      </c>
      <c r="B77" s="19" t="s">
        <v>15</v>
      </c>
      <c r="C77" s="20" t="n">
        <v>96804.11</v>
      </c>
      <c r="D77" s="20" t="n">
        <v>130.11</v>
      </c>
    </row>
    <row r="78" customFormat="false" ht="15" hidden="false" customHeight="false" outlineLevel="0" collapsed="false">
      <c r="A78" s="19" t="s">
        <v>74</v>
      </c>
      <c r="B78" s="19" t="s">
        <v>19</v>
      </c>
      <c r="C78" s="20" t="n">
        <v>24898.47</v>
      </c>
      <c r="D78" s="20" t="n">
        <v>33.47</v>
      </c>
    </row>
    <row r="79" customFormat="false" ht="15" hidden="false" customHeight="false" outlineLevel="0" collapsed="false">
      <c r="A79" s="19" t="s">
        <v>74</v>
      </c>
      <c r="B79" s="19" t="s">
        <v>16</v>
      </c>
      <c r="C79" s="20" t="n">
        <v>80684.98</v>
      </c>
      <c r="D79" s="20" t="n">
        <v>118.31</v>
      </c>
    </row>
    <row r="80" customFormat="false" ht="15" hidden="false" customHeight="false" outlineLevel="0" collapsed="false">
      <c r="A80" s="19" t="s">
        <v>75</v>
      </c>
      <c r="B80" s="19" t="s">
        <v>17</v>
      </c>
      <c r="C80" s="20" t="n">
        <v>154351.19</v>
      </c>
      <c r="D80" s="20" t="n">
        <v>183.75</v>
      </c>
    </row>
    <row r="81" customFormat="false" ht="15" hidden="false" customHeight="false" outlineLevel="0" collapsed="false">
      <c r="A81" s="19" t="s">
        <v>75</v>
      </c>
      <c r="B81" s="19" t="s">
        <v>18</v>
      </c>
      <c r="C81" s="20" t="n">
        <v>281152.83</v>
      </c>
      <c r="D81" s="20" t="n">
        <v>425.99</v>
      </c>
    </row>
    <row r="82" customFormat="false" ht="15" hidden="false" customHeight="false" outlineLevel="0" collapsed="false">
      <c r="A82" s="19" t="s">
        <v>75</v>
      </c>
      <c r="B82" s="19" t="s">
        <v>15</v>
      </c>
      <c r="C82" s="20" t="n">
        <v>107085.32</v>
      </c>
      <c r="D82" s="20" t="n">
        <v>148.73</v>
      </c>
    </row>
    <row r="83" customFormat="false" ht="15" hidden="false" customHeight="false" outlineLevel="0" collapsed="false">
      <c r="A83" s="19" t="s">
        <v>75</v>
      </c>
      <c r="B83" s="19" t="s">
        <v>19</v>
      </c>
      <c r="C83" s="20" t="n">
        <v>27723.83</v>
      </c>
      <c r="D83" s="20" t="n">
        <v>38.51</v>
      </c>
    </row>
    <row r="84" customFormat="false" ht="15" hidden="false" customHeight="false" outlineLevel="0" collapsed="false">
      <c r="A84" s="19" t="s">
        <v>75</v>
      </c>
      <c r="B84" s="19" t="s">
        <v>16</v>
      </c>
      <c r="C84" s="20" t="n">
        <v>88036.8</v>
      </c>
      <c r="D84" s="20" t="n">
        <v>133.39</v>
      </c>
    </row>
    <row r="85" customFormat="false" ht="15" hidden="false" customHeight="false" outlineLevel="0" collapsed="false">
      <c r="A85" s="19" t="s">
        <v>76</v>
      </c>
      <c r="B85" s="19" t="s">
        <v>17</v>
      </c>
      <c r="C85" s="20" t="n">
        <v>172878.71</v>
      </c>
      <c r="D85" s="20" t="n">
        <v>199.17</v>
      </c>
    </row>
    <row r="86" customFormat="false" ht="15" hidden="false" customHeight="false" outlineLevel="0" collapsed="false">
      <c r="A86" s="19" t="s">
        <v>76</v>
      </c>
      <c r="B86" s="19" t="s">
        <v>18</v>
      </c>
      <c r="C86" s="20" t="n">
        <v>318421.2</v>
      </c>
      <c r="D86" s="20" t="n">
        <v>466.89</v>
      </c>
    </row>
    <row r="87" customFormat="false" ht="15" hidden="false" customHeight="false" outlineLevel="0" collapsed="false">
      <c r="A87" s="19" t="s">
        <v>76</v>
      </c>
      <c r="B87" s="19" t="s">
        <v>15</v>
      </c>
      <c r="C87" s="20" t="n">
        <v>120650.12</v>
      </c>
      <c r="D87" s="20" t="n">
        <v>162.16</v>
      </c>
    </row>
    <row r="88" customFormat="false" ht="15" hidden="false" customHeight="false" outlineLevel="0" collapsed="false">
      <c r="A88" s="19" t="s">
        <v>76</v>
      </c>
      <c r="B88" s="19" t="s">
        <v>19</v>
      </c>
      <c r="C88" s="20" t="n">
        <v>30990.45</v>
      </c>
      <c r="D88" s="20" t="n">
        <v>41.65</v>
      </c>
    </row>
    <row r="89" customFormat="false" ht="15" hidden="false" customHeight="false" outlineLevel="0" collapsed="false">
      <c r="A89" s="19" t="s">
        <v>76</v>
      </c>
      <c r="B89" s="19" t="s">
        <v>16</v>
      </c>
      <c r="C89" s="20" t="n">
        <v>101018.19</v>
      </c>
      <c r="D89" s="20" t="n">
        <v>148.12</v>
      </c>
    </row>
    <row r="90" customFormat="false" ht="15" hidden="false" customHeight="false" outlineLevel="0" collapsed="false">
      <c r="A90" s="19" t="s">
        <v>77</v>
      </c>
      <c r="B90" s="19" t="s">
        <v>17</v>
      </c>
      <c r="C90" s="20" t="n">
        <v>174089.48</v>
      </c>
      <c r="D90" s="20" t="n">
        <v>207.25</v>
      </c>
    </row>
    <row r="91" customFormat="false" ht="15" hidden="false" customHeight="false" outlineLevel="0" collapsed="false">
      <c r="A91" s="19" t="s">
        <v>77</v>
      </c>
      <c r="B91" s="19" t="s">
        <v>18</v>
      </c>
      <c r="C91" s="20" t="n">
        <v>311226.92</v>
      </c>
      <c r="D91" s="20" t="n">
        <v>471.56</v>
      </c>
    </row>
    <row r="92" customFormat="false" ht="15" hidden="false" customHeight="false" outlineLevel="0" collapsed="false">
      <c r="A92" s="19" t="s">
        <v>77</v>
      </c>
      <c r="B92" s="19" t="s">
        <v>15</v>
      </c>
      <c r="C92" s="20" t="n">
        <v>118114.55</v>
      </c>
      <c r="D92" s="20" t="n">
        <v>164.05</v>
      </c>
    </row>
    <row r="93" customFormat="false" ht="15" hidden="false" customHeight="false" outlineLevel="0" collapsed="false">
      <c r="A93" s="19" t="s">
        <v>77</v>
      </c>
      <c r="B93" s="19" t="s">
        <v>19</v>
      </c>
      <c r="C93" s="20" t="n">
        <v>30950.62</v>
      </c>
      <c r="D93" s="20" t="n">
        <v>42.99</v>
      </c>
    </row>
    <row r="94" customFormat="false" ht="15" hidden="false" customHeight="false" outlineLevel="0" collapsed="false">
      <c r="A94" s="19" t="s">
        <v>77</v>
      </c>
      <c r="B94" s="19" t="s">
        <v>16</v>
      </c>
      <c r="C94" s="20" t="n">
        <v>98269.04</v>
      </c>
      <c r="D94" s="20" t="n">
        <v>148.89</v>
      </c>
    </row>
    <row r="95" customFormat="false" ht="15" hidden="false" customHeight="false" outlineLevel="0" collapsed="false">
      <c r="A95" s="19" t="s">
        <v>78</v>
      </c>
      <c r="B95" s="19" t="s">
        <v>17</v>
      </c>
      <c r="C95" s="20" t="n">
        <v>178345.19</v>
      </c>
      <c r="D95" s="20" t="n">
        <v>205.47</v>
      </c>
    </row>
    <row r="96" customFormat="false" ht="15" hidden="false" customHeight="false" outlineLevel="0" collapsed="false">
      <c r="A96" s="19" t="s">
        <v>78</v>
      </c>
      <c r="B96" s="19" t="s">
        <v>18</v>
      </c>
      <c r="C96" s="20" t="n">
        <v>319559.42</v>
      </c>
      <c r="D96" s="20" t="n">
        <v>468.56</v>
      </c>
    </row>
    <row r="97" customFormat="false" ht="15" hidden="false" customHeight="false" outlineLevel="0" collapsed="false">
      <c r="A97" s="19" t="s">
        <v>78</v>
      </c>
      <c r="B97" s="19" t="s">
        <v>15</v>
      </c>
      <c r="C97" s="20" t="n">
        <v>123620.21</v>
      </c>
      <c r="D97" s="20" t="n">
        <v>166.16</v>
      </c>
    </row>
    <row r="98" customFormat="false" ht="15" hidden="false" customHeight="false" outlineLevel="0" collapsed="false">
      <c r="A98" s="19" t="s">
        <v>78</v>
      </c>
      <c r="B98" s="19" t="s">
        <v>19</v>
      </c>
      <c r="C98" s="20" t="n">
        <v>31794.82</v>
      </c>
      <c r="D98" s="20" t="n">
        <v>42.73</v>
      </c>
    </row>
    <row r="99" customFormat="false" ht="15" hidden="false" customHeight="false" outlineLevel="0" collapsed="false">
      <c r="A99" s="19" t="s">
        <v>78</v>
      </c>
      <c r="B99" s="19" t="s">
        <v>16</v>
      </c>
      <c r="C99" s="20" t="n">
        <v>101427.98</v>
      </c>
      <c r="D99" s="20" t="n">
        <v>148.72</v>
      </c>
    </row>
    <row r="100" customFormat="false" ht="15" hidden="false" customHeight="false" outlineLevel="0" collapsed="false">
      <c r="A100" s="19" t="s">
        <v>79</v>
      </c>
      <c r="B100" s="19" t="s">
        <v>17</v>
      </c>
      <c r="C100" s="20" t="n">
        <v>164354.41</v>
      </c>
      <c r="D100" s="20" t="n">
        <v>189.35</v>
      </c>
    </row>
    <row r="101" customFormat="false" ht="15" hidden="false" customHeight="false" outlineLevel="0" collapsed="false">
      <c r="A101" s="19" t="s">
        <v>79</v>
      </c>
      <c r="B101" s="19" t="s">
        <v>18</v>
      </c>
      <c r="C101" s="20" t="n">
        <v>294738.32</v>
      </c>
      <c r="D101" s="20" t="n">
        <v>432.17</v>
      </c>
    </row>
    <row r="102" customFormat="false" ht="15" hidden="false" customHeight="false" outlineLevel="0" collapsed="false">
      <c r="A102" s="19" t="s">
        <v>79</v>
      </c>
      <c r="B102" s="19" t="s">
        <v>15</v>
      </c>
      <c r="C102" s="20" t="n">
        <v>112285.65</v>
      </c>
      <c r="D102" s="20" t="n">
        <v>150.92</v>
      </c>
    </row>
    <row r="103" customFormat="false" ht="15" hidden="false" customHeight="false" outlineLevel="0" collapsed="false">
      <c r="A103" s="19" t="s">
        <v>79</v>
      </c>
      <c r="B103" s="19" t="s">
        <v>19</v>
      </c>
      <c r="C103" s="20" t="n">
        <v>29509.86</v>
      </c>
      <c r="D103" s="20" t="n">
        <v>39.66</v>
      </c>
    </row>
    <row r="104" customFormat="false" ht="15" hidden="false" customHeight="false" outlineLevel="0" collapsed="false">
      <c r="A104" s="19" t="s">
        <v>79</v>
      </c>
      <c r="B104" s="19" t="s">
        <v>16</v>
      </c>
      <c r="C104" s="20" t="n">
        <v>93658.5</v>
      </c>
      <c r="D104" s="20" t="n">
        <v>137.33</v>
      </c>
    </row>
    <row r="105" customFormat="false" ht="15" hidden="false" customHeight="false" outlineLevel="0" collapsed="false">
      <c r="A105" s="19" t="s">
        <v>80</v>
      </c>
      <c r="B105" s="19" t="s">
        <v>17</v>
      </c>
      <c r="C105" s="20" t="n">
        <v>140263.18</v>
      </c>
      <c r="D105" s="20" t="n">
        <v>166.98</v>
      </c>
    </row>
    <row r="106" customFormat="false" ht="15" hidden="false" customHeight="false" outlineLevel="0" collapsed="false">
      <c r="A106" s="19" t="s">
        <v>80</v>
      </c>
      <c r="B106" s="19" t="s">
        <v>18</v>
      </c>
      <c r="C106" s="20" t="n">
        <v>255832.89</v>
      </c>
      <c r="D106" s="20" t="n">
        <v>387.63</v>
      </c>
    </row>
    <row r="107" customFormat="false" ht="15" hidden="false" customHeight="false" outlineLevel="0" collapsed="false">
      <c r="A107" s="19" t="s">
        <v>80</v>
      </c>
      <c r="B107" s="19" t="s">
        <v>15</v>
      </c>
      <c r="C107" s="20" t="n">
        <v>94335.45</v>
      </c>
      <c r="D107" s="20" t="n">
        <v>131.02</v>
      </c>
    </row>
    <row r="108" customFormat="false" ht="15" hidden="false" customHeight="false" outlineLevel="0" collapsed="false">
      <c r="A108" s="19" t="s">
        <v>80</v>
      </c>
      <c r="B108" s="19" t="s">
        <v>19</v>
      </c>
      <c r="C108" s="20" t="n">
        <v>25249.42</v>
      </c>
      <c r="D108" s="20" t="n">
        <v>35.07</v>
      </c>
    </row>
    <row r="109" customFormat="false" ht="15" hidden="false" customHeight="false" outlineLevel="0" collapsed="false">
      <c r="A109" s="19" t="s">
        <v>80</v>
      </c>
      <c r="B109" s="19" t="s">
        <v>16</v>
      </c>
      <c r="C109" s="20" t="n">
        <v>80293.33</v>
      </c>
      <c r="D109" s="20" t="n">
        <v>121.66</v>
      </c>
    </row>
    <row r="110" customFormat="false" ht="15" hidden="false" customHeight="false" outlineLevel="0" collapsed="false">
      <c r="A110" s="19" t="s">
        <v>81</v>
      </c>
      <c r="B110" s="19" t="s">
        <v>17</v>
      </c>
      <c r="C110" s="20" t="n">
        <v>129284.19</v>
      </c>
      <c r="D110" s="20" t="n">
        <v>148.94</v>
      </c>
    </row>
    <row r="111" customFormat="false" ht="15" hidden="false" customHeight="false" outlineLevel="0" collapsed="false">
      <c r="A111" s="19" t="s">
        <v>81</v>
      </c>
      <c r="B111" s="19" t="s">
        <v>18</v>
      </c>
      <c r="C111" s="20" t="n">
        <v>234893.49</v>
      </c>
      <c r="D111" s="20" t="n">
        <v>344.42</v>
      </c>
    </row>
    <row r="112" customFormat="false" ht="15" hidden="false" customHeight="false" outlineLevel="0" collapsed="false">
      <c r="A112" s="19" t="s">
        <v>81</v>
      </c>
      <c r="B112" s="19" t="s">
        <v>15</v>
      </c>
      <c r="C112" s="20" t="n">
        <v>87098.48</v>
      </c>
      <c r="D112" s="20" t="n">
        <v>117.07</v>
      </c>
    </row>
    <row r="113" customFormat="false" ht="15" hidden="false" customHeight="false" outlineLevel="0" collapsed="false">
      <c r="A113" s="19" t="s">
        <v>81</v>
      </c>
      <c r="B113" s="19" t="s">
        <v>19</v>
      </c>
      <c r="C113" s="20" t="n">
        <v>23363.71</v>
      </c>
      <c r="D113" s="20" t="n">
        <v>31.4</v>
      </c>
    </row>
    <row r="114" customFormat="false" ht="15" hidden="false" customHeight="false" outlineLevel="0" collapsed="false">
      <c r="A114" s="19" t="s">
        <v>81</v>
      </c>
      <c r="B114" s="19" t="s">
        <v>16</v>
      </c>
      <c r="C114" s="20" t="n">
        <v>73027.27</v>
      </c>
      <c r="D114" s="20" t="n">
        <v>107.08</v>
      </c>
    </row>
    <row r="115" customFormat="false" ht="15" hidden="false" customHeight="false" outlineLevel="0" collapsed="false">
      <c r="A115" s="19" t="s">
        <v>82</v>
      </c>
      <c r="B115" s="19" t="s">
        <v>17</v>
      </c>
      <c r="C115" s="20" t="n">
        <v>111440.55</v>
      </c>
      <c r="D115" s="20" t="n">
        <v>132.67</v>
      </c>
    </row>
    <row r="116" customFormat="false" ht="15" hidden="false" customHeight="false" outlineLevel="0" collapsed="false">
      <c r="A116" s="19" t="s">
        <v>82</v>
      </c>
      <c r="B116" s="19" t="s">
        <v>18</v>
      </c>
      <c r="C116" s="20" t="n">
        <v>200196.3</v>
      </c>
      <c r="D116" s="20" t="n">
        <v>303.33</v>
      </c>
    </row>
    <row r="117" customFormat="false" ht="15" hidden="false" customHeight="false" outlineLevel="0" collapsed="false">
      <c r="A117" s="19" t="s">
        <v>82</v>
      </c>
      <c r="B117" s="19" t="s">
        <v>15</v>
      </c>
      <c r="C117" s="20" t="n">
        <v>76803.65</v>
      </c>
      <c r="D117" s="20" t="n">
        <v>106.67</v>
      </c>
    </row>
    <row r="118" customFormat="false" ht="15" hidden="false" customHeight="false" outlineLevel="0" collapsed="false">
      <c r="A118" s="19" t="s">
        <v>82</v>
      </c>
      <c r="B118" s="19" t="s">
        <v>19</v>
      </c>
      <c r="C118" s="20" t="n">
        <v>19729.19</v>
      </c>
      <c r="D118" s="20" t="n">
        <v>27.4</v>
      </c>
    </row>
    <row r="119" customFormat="false" ht="15" hidden="false" customHeight="false" outlineLevel="0" collapsed="false">
      <c r="A119" s="19" t="s">
        <v>82</v>
      </c>
      <c r="B119" s="19" t="s">
        <v>16</v>
      </c>
      <c r="C119" s="20" t="n">
        <v>62640.6</v>
      </c>
      <c r="D119" s="20" t="n">
        <v>94.91</v>
      </c>
    </row>
    <row r="120" customFormat="false" ht="15" hidden="false" customHeight="false" outlineLevel="0" collapsed="false">
      <c r="A120" s="19" t="s">
        <v>83</v>
      </c>
      <c r="B120" s="19" t="s">
        <v>17</v>
      </c>
      <c r="C120" s="20" t="n">
        <v>109940.96</v>
      </c>
      <c r="D120" s="20" t="n">
        <v>126.66</v>
      </c>
    </row>
    <row r="121" customFormat="false" ht="15" hidden="false" customHeight="false" outlineLevel="0" collapsed="false">
      <c r="A121" s="19" t="s">
        <v>83</v>
      </c>
      <c r="B121" s="19" t="s">
        <v>18</v>
      </c>
      <c r="C121" s="20" t="n">
        <v>193640.72</v>
      </c>
      <c r="D121" s="20" t="n">
        <v>283.93</v>
      </c>
    </row>
    <row r="122" customFormat="false" ht="15" hidden="false" customHeight="false" outlineLevel="0" collapsed="false">
      <c r="A122" s="19" t="s">
        <v>83</v>
      </c>
      <c r="B122" s="19" t="s">
        <v>15</v>
      </c>
      <c r="C122" s="20" t="n">
        <v>75691.83</v>
      </c>
      <c r="D122" s="20" t="n">
        <v>101.74</v>
      </c>
    </row>
    <row r="123" customFormat="false" ht="15" hidden="false" customHeight="false" outlineLevel="0" collapsed="false">
      <c r="A123" s="19" t="s">
        <v>83</v>
      </c>
      <c r="B123" s="19" t="s">
        <v>19</v>
      </c>
      <c r="C123" s="20" t="n">
        <v>19454.24</v>
      </c>
      <c r="D123" s="20" t="n">
        <v>26.15</v>
      </c>
    </row>
    <row r="124" customFormat="false" ht="15" hidden="false" customHeight="false" outlineLevel="0" collapsed="false">
      <c r="A124" s="19" t="s">
        <v>83</v>
      </c>
      <c r="B124" s="19" t="s">
        <v>16</v>
      </c>
      <c r="C124" s="20" t="n">
        <v>62609.82</v>
      </c>
      <c r="D124" s="20" t="n">
        <v>91.8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7" t="s">
        <v>84</v>
      </c>
    </row>
    <row r="2" customFormat="false" ht="15" hidden="false" customHeight="false" outlineLevel="0" collapsed="false">
      <c r="A2" s="18" t="s">
        <v>32</v>
      </c>
    </row>
    <row r="4" customFormat="false" ht="30" hidden="false" customHeight="true" outlineLevel="0" collapsed="false">
      <c r="A4" s="13" t="s">
        <v>2</v>
      </c>
      <c r="B4" s="13" t="s">
        <v>85</v>
      </c>
      <c r="C4" s="13" t="s">
        <v>86</v>
      </c>
      <c r="D4" s="13" t="s">
        <v>87</v>
      </c>
      <c r="E4" s="13" t="s">
        <v>88</v>
      </c>
    </row>
    <row r="5" customFormat="false" ht="15" hidden="false" customHeight="false" outlineLevel="0" collapsed="false">
      <c r="A5" s="19" t="s">
        <v>18</v>
      </c>
      <c r="B5" s="22" t="n">
        <v>22</v>
      </c>
      <c r="C5" s="20" t="n">
        <v>732400.71</v>
      </c>
      <c r="D5" s="20" t="n">
        <v>45.54</v>
      </c>
      <c r="E5" s="20" t="n">
        <v>33290.94</v>
      </c>
    </row>
    <row r="6" customFormat="false" ht="15" hidden="false" customHeight="false" outlineLevel="0" collapsed="false">
      <c r="A6" s="19" t="s">
        <v>17</v>
      </c>
      <c r="B6" s="22" t="n">
        <v>28</v>
      </c>
      <c r="C6" s="20" t="n">
        <v>509782.48</v>
      </c>
      <c r="D6" s="20" t="n">
        <v>24.91</v>
      </c>
      <c r="E6" s="20" t="n">
        <v>18206.52</v>
      </c>
    </row>
    <row r="7" customFormat="false" ht="15" hidden="false" customHeight="false" outlineLevel="0" collapsed="false">
      <c r="A7" s="19" t="s">
        <v>15</v>
      </c>
      <c r="B7" s="22" t="n">
        <v>24</v>
      </c>
      <c r="C7" s="20" t="n">
        <v>326568.41</v>
      </c>
      <c r="D7" s="20" t="n">
        <v>18.61</v>
      </c>
      <c r="E7" s="20" t="n">
        <v>13607.02</v>
      </c>
    </row>
    <row r="8" customFormat="false" ht="15" hidden="false" customHeight="false" outlineLevel="0" collapsed="false">
      <c r="A8" s="19" t="s">
        <v>16</v>
      </c>
      <c r="B8" s="22" t="n">
        <v>22</v>
      </c>
      <c r="C8" s="20" t="n">
        <v>270293.61</v>
      </c>
      <c r="D8" s="20" t="n">
        <v>16.81</v>
      </c>
      <c r="E8" s="20" t="n">
        <v>12286.07</v>
      </c>
    </row>
    <row r="9" customFormat="false" ht="15" hidden="false" customHeight="false" outlineLevel="0" collapsed="false">
      <c r="A9" s="19" t="s">
        <v>19</v>
      </c>
      <c r="B9" s="22" t="n">
        <v>24</v>
      </c>
      <c r="C9" s="20" t="n">
        <v>102251.2</v>
      </c>
      <c r="D9" s="20" t="n">
        <v>5.83</v>
      </c>
      <c r="E9" s="20" t="n">
        <v>4260.47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8"/>
  </cols>
  <sheetData>
    <row r="1" customFormat="false" ht="16.15" hidden="false" customHeight="false" outlineLevel="0" collapsed="false">
      <c r="A1" s="17" t="s">
        <v>89</v>
      </c>
    </row>
    <row r="2" customFormat="false" ht="15" hidden="false" customHeight="false" outlineLevel="0" collapsed="false">
      <c r="A2" s="18" t="s">
        <v>32</v>
      </c>
    </row>
    <row r="4" customFormat="false" ht="30" hidden="false" customHeight="true" outlineLevel="0" collapsed="false">
      <c r="A4" s="13" t="s">
        <v>23</v>
      </c>
      <c r="B4" s="13" t="s">
        <v>2</v>
      </c>
      <c r="C4" s="13" t="s">
        <v>37</v>
      </c>
      <c r="D4" s="13" t="s">
        <v>90</v>
      </c>
      <c r="E4" s="13" t="s">
        <v>91</v>
      </c>
      <c r="F4" s="13" t="s">
        <v>92</v>
      </c>
      <c r="G4" s="13" t="s">
        <v>93</v>
      </c>
      <c r="H4" s="13" t="s">
        <v>94</v>
      </c>
    </row>
    <row r="5" customFormat="false" ht="15" hidden="false" customHeight="false" outlineLevel="0" collapsed="false">
      <c r="A5" s="19" t="s">
        <v>95</v>
      </c>
      <c r="B5" s="19" t="s">
        <v>19</v>
      </c>
      <c r="C5" s="19" t="s">
        <v>51</v>
      </c>
      <c r="D5" s="22" t="n">
        <v>731</v>
      </c>
      <c r="E5" s="22" t="n">
        <v>186</v>
      </c>
      <c r="F5" s="22" t="n">
        <v>10943</v>
      </c>
      <c r="G5" s="22" t="n">
        <v>731</v>
      </c>
      <c r="H5" s="19" t="str">
        <f aca="false">IF(G5&gt;=Calc!$B$7,"Persistent fault",IF(G5&gt;=Calc!$B$8,"Intermittent","Monitor"))</f>
        <v>Persistent fault</v>
      </c>
    </row>
    <row r="6" customFormat="false" ht="15" hidden="false" customHeight="false" outlineLevel="0" collapsed="false">
      <c r="A6" s="19" t="s">
        <v>96</v>
      </c>
      <c r="B6" s="19" t="s">
        <v>19</v>
      </c>
      <c r="C6" s="19" t="s">
        <v>51</v>
      </c>
      <c r="D6" s="22" t="n">
        <v>731</v>
      </c>
      <c r="E6" s="22" t="n">
        <v>169</v>
      </c>
      <c r="F6" s="22" t="n">
        <v>10059</v>
      </c>
      <c r="G6" s="22" t="n">
        <v>731</v>
      </c>
      <c r="H6" s="19" t="str">
        <f aca="false">IF(G6&gt;=Calc!$B$7,"Persistent fault",IF(G6&gt;=Calc!$B$8,"Intermittent","Monitor"))</f>
        <v>Persistent fault</v>
      </c>
    </row>
    <row r="7" customFormat="false" ht="15" hidden="false" customHeight="false" outlineLevel="0" collapsed="false">
      <c r="A7" s="19" t="s">
        <v>97</v>
      </c>
      <c r="B7" s="19" t="s">
        <v>19</v>
      </c>
      <c r="C7" s="19" t="s">
        <v>51</v>
      </c>
      <c r="D7" s="22" t="n">
        <v>731</v>
      </c>
      <c r="E7" s="22" t="n">
        <v>168</v>
      </c>
      <c r="F7" s="22" t="n">
        <v>10022</v>
      </c>
      <c r="G7" s="22" t="n">
        <v>731</v>
      </c>
      <c r="H7" s="19" t="str">
        <f aca="false">IF(G7&gt;=Calc!$B$7,"Persistent fault",IF(G7&gt;=Calc!$B$8,"Intermittent","Monitor"))</f>
        <v>Persistent fault</v>
      </c>
    </row>
    <row r="8" customFormat="false" ht="15" hidden="false" customHeight="false" outlineLevel="0" collapsed="false">
      <c r="A8" s="19" t="s">
        <v>98</v>
      </c>
      <c r="B8" s="19" t="s">
        <v>19</v>
      </c>
      <c r="C8" s="19" t="s">
        <v>39</v>
      </c>
      <c r="D8" s="22" t="n">
        <v>731</v>
      </c>
      <c r="E8" s="22" t="n">
        <v>188</v>
      </c>
      <c r="F8" s="22" t="n">
        <v>9950</v>
      </c>
      <c r="G8" s="22" t="n">
        <v>731</v>
      </c>
      <c r="H8" s="19" t="str">
        <f aca="false">IF(G8&gt;=Calc!$B$7,"Persistent fault",IF(G8&gt;=Calc!$B$8,"Intermittent","Monitor"))</f>
        <v>Persistent fault</v>
      </c>
    </row>
    <row r="9" customFormat="false" ht="15" hidden="false" customHeight="false" outlineLevel="0" collapsed="false">
      <c r="A9" s="19" t="s">
        <v>99</v>
      </c>
      <c r="B9" s="19" t="s">
        <v>19</v>
      </c>
      <c r="C9" s="19" t="s">
        <v>51</v>
      </c>
      <c r="D9" s="22" t="n">
        <v>731</v>
      </c>
      <c r="E9" s="22" t="n">
        <v>161</v>
      </c>
      <c r="F9" s="22" t="n">
        <v>8769</v>
      </c>
      <c r="G9" s="22" t="n">
        <v>731</v>
      </c>
      <c r="H9" s="19" t="str">
        <f aca="false">IF(G9&gt;=Calc!$B$7,"Persistent fault",IF(G9&gt;=Calc!$B$8,"Intermittent","Monitor"))</f>
        <v>Persistent fault</v>
      </c>
    </row>
    <row r="10" customFormat="false" ht="15" hidden="false" customHeight="false" outlineLevel="0" collapsed="false">
      <c r="A10" s="19" t="s">
        <v>100</v>
      </c>
      <c r="B10" s="19" t="s">
        <v>19</v>
      </c>
      <c r="C10" s="19" t="s">
        <v>51</v>
      </c>
      <c r="D10" s="22" t="n">
        <v>731</v>
      </c>
      <c r="E10" s="22" t="n">
        <v>156</v>
      </c>
      <c r="F10" s="22" t="n">
        <v>8196</v>
      </c>
      <c r="G10" s="22" t="n">
        <v>731</v>
      </c>
      <c r="H10" s="19" t="str">
        <f aca="false">IF(G10&gt;=Calc!$B$7,"Persistent fault",IF(G10&gt;=Calc!$B$8,"Intermittent","Monitor"))</f>
        <v>Persistent fault</v>
      </c>
    </row>
    <row r="11" customFormat="false" ht="15" hidden="false" customHeight="false" outlineLevel="0" collapsed="false">
      <c r="A11" s="19" t="s">
        <v>101</v>
      </c>
      <c r="B11" s="19" t="s">
        <v>16</v>
      </c>
      <c r="C11" s="19" t="s">
        <v>45</v>
      </c>
      <c r="D11" s="22" t="n">
        <v>731</v>
      </c>
      <c r="E11" s="22" t="n">
        <v>103</v>
      </c>
      <c r="F11" s="22" t="n">
        <v>4954</v>
      </c>
      <c r="G11" s="22" t="n">
        <v>731</v>
      </c>
      <c r="H11" s="19" t="str">
        <f aca="false">IF(G11&gt;=Calc!$B$7,"Persistent fault",IF(G11&gt;=Calc!$B$8,"Intermittent","Monitor"))</f>
        <v>Persistent fault</v>
      </c>
    </row>
    <row r="12" customFormat="false" ht="15" hidden="false" customHeight="false" outlineLevel="0" collapsed="false">
      <c r="A12" s="19" t="s">
        <v>102</v>
      </c>
      <c r="B12" s="19" t="s">
        <v>18</v>
      </c>
      <c r="C12" s="19" t="s">
        <v>39</v>
      </c>
      <c r="D12" s="22" t="n">
        <v>731</v>
      </c>
      <c r="E12" s="22" t="n">
        <v>71</v>
      </c>
      <c r="F12" s="22" t="n">
        <v>4564</v>
      </c>
      <c r="G12" s="22" t="n">
        <v>731</v>
      </c>
      <c r="H12" s="19" t="str">
        <f aca="false">IF(G12&gt;=Calc!$B$7,"Persistent fault",IF(G12&gt;=Calc!$B$8,"Intermittent","Monitor"))</f>
        <v>Persistent fault</v>
      </c>
    </row>
    <row r="13" customFormat="false" ht="15" hidden="false" customHeight="false" outlineLevel="0" collapsed="false">
      <c r="A13" s="19" t="s">
        <v>103</v>
      </c>
      <c r="B13" s="19" t="s">
        <v>18</v>
      </c>
      <c r="C13" s="19" t="s">
        <v>51</v>
      </c>
      <c r="D13" s="22" t="n">
        <v>731</v>
      </c>
      <c r="E13" s="22" t="n">
        <v>68</v>
      </c>
      <c r="F13" s="22" t="n">
        <v>4394</v>
      </c>
      <c r="G13" s="22" t="n">
        <v>731</v>
      </c>
      <c r="H13" s="19" t="str">
        <f aca="false">IF(G13&gt;=Calc!$B$7,"Persistent fault",IF(G13&gt;=Calc!$B$8,"Intermittent","Monitor"))</f>
        <v>Persistent fault</v>
      </c>
    </row>
    <row r="14" customFormat="false" ht="15" hidden="false" customHeight="false" outlineLevel="0" collapsed="false">
      <c r="A14" s="19" t="s">
        <v>104</v>
      </c>
      <c r="B14" s="19" t="s">
        <v>15</v>
      </c>
      <c r="C14" s="19" t="s">
        <v>51</v>
      </c>
      <c r="D14" s="22" t="n">
        <v>731</v>
      </c>
      <c r="E14" s="22" t="n">
        <v>49</v>
      </c>
      <c r="F14" s="22" t="n">
        <v>3030</v>
      </c>
      <c r="G14" s="22" t="n">
        <v>731</v>
      </c>
      <c r="H14" s="19" t="str">
        <f aca="false">IF(G14&gt;=Calc!$B$7,"Persistent fault",IF(G14&gt;=Calc!$B$8,"Intermittent","Monitor"))</f>
        <v>Persistent fault</v>
      </c>
    </row>
    <row r="15" customFormat="false" ht="15" hidden="false" customHeight="false" outlineLevel="0" collapsed="false">
      <c r="A15" s="19" t="s">
        <v>105</v>
      </c>
      <c r="B15" s="19" t="s">
        <v>15</v>
      </c>
      <c r="C15" s="19" t="s">
        <v>39</v>
      </c>
      <c r="D15" s="22" t="n">
        <v>731</v>
      </c>
      <c r="E15" s="22" t="n">
        <v>52</v>
      </c>
      <c r="F15" s="22" t="n">
        <v>2659</v>
      </c>
      <c r="G15" s="22" t="n">
        <v>731</v>
      </c>
      <c r="H15" s="19" t="str">
        <f aca="false">IF(G15&gt;=Calc!$B$7,"Persistent fault",IF(G15&gt;=Calc!$B$8,"Intermittent","Monitor"))</f>
        <v>Persistent fault</v>
      </c>
    </row>
    <row r="16" customFormat="false" ht="15" hidden="false" customHeight="false" outlineLevel="0" collapsed="false">
      <c r="A16" s="19" t="s">
        <v>106</v>
      </c>
      <c r="B16" s="19" t="s">
        <v>19</v>
      </c>
      <c r="C16" s="19" t="s">
        <v>51</v>
      </c>
      <c r="D16" s="22" t="n">
        <v>46</v>
      </c>
      <c r="E16" s="22" t="n">
        <v>80</v>
      </c>
      <c r="F16" s="22" t="n">
        <v>4151</v>
      </c>
      <c r="G16" s="22" t="n">
        <v>108</v>
      </c>
      <c r="H16" s="19" t="str">
        <f aca="false">IF(G16&gt;=Calc!$B$7,"Persistent fault",IF(G16&gt;=Calc!$B$8,"Intermittent","Monitor"))</f>
        <v>Intermittent</v>
      </c>
    </row>
    <row r="17" customFormat="false" ht="15" hidden="false" customHeight="false" outlineLevel="0" collapsed="false">
      <c r="A17" s="19" t="s">
        <v>107</v>
      </c>
      <c r="B17" s="19" t="s">
        <v>16</v>
      </c>
      <c r="C17" s="19" t="s">
        <v>51</v>
      </c>
      <c r="D17" s="22" t="n">
        <v>75</v>
      </c>
      <c r="E17" s="22" t="n">
        <v>36</v>
      </c>
      <c r="F17" s="22" t="n">
        <v>2352</v>
      </c>
      <c r="G17" s="22" t="n">
        <v>102</v>
      </c>
      <c r="H17" s="19" t="str">
        <f aca="false">IF(G17&gt;=Calc!$B$7,"Persistent fault",IF(G17&gt;=Calc!$B$8,"Intermittent","Monitor"))</f>
        <v>Intermittent</v>
      </c>
    </row>
    <row r="18" customFormat="false" ht="15" hidden="false" customHeight="false" outlineLevel="0" collapsed="false">
      <c r="A18" s="19" t="s">
        <v>108</v>
      </c>
      <c r="B18" s="19" t="s">
        <v>18</v>
      </c>
      <c r="C18" s="19" t="s">
        <v>39</v>
      </c>
      <c r="D18" s="22" t="n">
        <v>83</v>
      </c>
      <c r="E18" s="22" t="n">
        <v>27</v>
      </c>
      <c r="F18" s="22" t="n">
        <v>1083</v>
      </c>
      <c r="G18" s="22" t="n">
        <v>101</v>
      </c>
      <c r="H18" s="19" t="str">
        <f aca="false">IF(G18&gt;=Calc!$B$7,"Persistent fault",IF(G18&gt;=Calc!$B$8,"Intermittent","Monitor"))</f>
        <v>Intermittent</v>
      </c>
    </row>
    <row r="19" customFormat="false" ht="15" hidden="false" customHeight="false" outlineLevel="0" collapsed="false">
      <c r="A19" s="19" t="s">
        <v>109</v>
      </c>
      <c r="B19" s="19" t="s">
        <v>15</v>
      </c>
      <c r="C19" s="19" t="s">
        <v>45</v>
      </c>
      <c r="D19" s="22" t="n">
        <v>76</v>
      </c>
      <c r="E19" s="22" t="n">
        <v>22</v>
      </c>
      <c r="F19" s="22" t="n">
        <v>988</v>
      </c>
      <c r="G19" s="22" t="n">
        <v>92</v>
      </c>
      <c r="H19" s="19" t="str">
        <f aca="false">IF(G19&gt;=Calc!$B$7,"Persistent fault",IF(G19&gt;=Calc!$B$8,"Intermittent","Monitor"))</f>
        <v>Intermittent</v>
      </c>
    </row>
    <row r="22" customFormat="false" ht="15" hidden="false" customHeight="false" outlineLevel="0" collapsed="false">
      <c r="A22" s="18" t="s">
        <v>110</v>
      </c>
    </row>
  </sheetData>
  <conditionalFormatting sqref="H5:H19">
    <cfRule type="expression" priority="2" aboveAverage="0" equalAverage="0" bottom="0" percent="0" rank="0" text="" dxfId="0">
      <formula>H5="Persistent fault"</formula>
    </cfRule>
    <cfRule type="expression" priority="3" aboveAverage="0" equalAverage="0" bottom="0" percent="0" rank="0" text="" dxfId="1">
      <formula>H5="Intermittent"</formula>
    </cfRule>
  </conditionalFormatting>
  <conditionalFormatting sqref="F5:F19">
    <cfRule type="dataBar" priority="4">
      <dataBar showValue="1" minLength="10" maxLength="90">
        <cfvo type="num" val="0"/>
        <cfvo type="max" val="0"/>
        <color rgb="FFC0504D"/>
      </dataBar>
      <extLst>
        <ext xmlns:x14="http://schemas.microsoft.com/office/spreadsheetml/2009/9/main" uri="{B025F937-C7B1-47D3-B67F-A62EFF666E3E}">
          <x14:id>{F03B68DD-77F2-4E31-B75A-F21B28E5F06F}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3B68DD-77F2-4E31-B75A-F21B28E5F06F}">
            <x14:dataBar minLength="10" maxLength="90" axisPosition="none" gradient="true">
              <x14:cfvo type="num">
                <xm:f>0</xm:f>
              </x14:cfvo>
              <x14:cfvo type="max"/>
              <x14:negativeFillColor rgb="FFC0504D"/>
              <x14:axisColor rgb="FF000000"/>
            </x14:dataBar>
          </x14:cfRule>
          <xm:sqref>F5:F19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21"/>
  </cols>
  <sheetData>
    <row r="1" customFormat="false" ht="16.15" hidden="false" customHeight="false" outlineLevel="0" collapsed="false">
      <c r="A1" s="17" t="s">
        <v>111</v>
      </c>
    </row>
    <row r="2" customFormat="false" ht="15" hidden="false" customHeight="false" outlineLevel="0" collapsed="false">
      <c r="A2" s="18" t="s">
        <v>32</v>
      </c>
    </row>
    <row r="4" customFormat="false" ht="30" hidden="false" customHeight="true" outlineLevel="0" collapsed="false">
      <c r="A4" s="13" t="s">
        <v>2</v>
      </c>
      <c r="B4" s="13" t="s">
        <v>35</v>
      </c>
      <c r="C4" s="13" t="s">
        <v>112</v>
      </c>
      <c r="D4" s="13" t="s">
        <v>113</v>
      </c>
      <c r="E4" s="13" t="s">
        <v>114</v>
      </c>
      <c r="F4" s="13" t="s">
        <v>115</v>
      </c>
      <c r="G4" s="13" t="s">
        <v>116</v>
      </c>
      <c r="H4" s="13" t="s">
        <v>117</v>
      </c>
    </row>
    <row r="5" customFormat="false" ht="15" hidden="false" customHeight="false" outlineLevel="0" collapsed="false">
      <c r="A5" s="19" t="s">
        <v>18</v>
      </c>
      <c r="B5" s="20" t="n">
        <v>379.7</v>
      </c>
      <c r="C5" s="20" t="n">
        <v>2.39</v>
      </c>
      <c r="D5" s="20" t="n">
        <v>4</v>
      </c>
      <c r="E5" s="20" t="n">
        <v>2.324</v>
      </c>
      <c r="F5" s="20" t="n">
        <v>0.792</v>
      </c>
      <c r="G5" s="20" t="n">
        <v>1.558</v>
      </c>
      <c r="H5" s="21" t="n">
        <v>1</v>
      </c>
    </row>
    <row r="6" customFormat="false" ht="15" hidden="false" customHeight="false" outlineLevel="0" collapsed="false">
      <c r="A6" s="19" t="s">
        <v>19</v>
      </c>
      <c r="B6" s="20" t="n">
        <v>34.36</v>
      </c>
      <c r="C6" s="20" t="n">
        <v>6.85</v>
      </c>
      <c r="D6" s="20" t="n">
        <v>12</v>
      </c>
      <c r="E6" s="20" t="n">
        <v>0.21</v>
      </c>
      <c r="F6" s="20" t="n">
        <v>2.271</v>
      </c>
      <c r="G6" s="20" t="n">
        <v>1.241</v>
      </c>
      <c r="H6" s="21" t="n">
        <v>2</v>
      </c>
    </row>
    <row r="7" customFormat="false" ht="15" hidden="false" customHeight="false" outlineLevel="0" collapsed="false">
      <c r="A7" s="19" t="s">
        <v>16</v>
      </c>
      <c r="B7" s="20" t="n">
        <v>119.63</v>
      </c>
      <c r="C7" s="20" t="n">
        <v>2.88</v>
      </c>
      <c r="D7" s="20" t="n">
        <v>5</v>
      </c>
      <c r="E7" s="20" t="n">
        <v>0.732</v>
      </c>
      <c r="F7" s="20" t="n">
        <v>0.955</v>
      </c>
      <c r="G7" s="20" t="n">
        <v>0.843</v>
      </c>
      <c r="H7" s="21" t="n">
        <v>3</v>
      </c>
    </row>
    <row r="8" customFormat="false" ht="15" hidden="false" customHeight="false" outlineLevel="0" collapsed="false">
      <c r="A8" s="19" t="s">
        <v>17</v>
      </c>
      <c r="B8" s="20" t="n">
        <v>164.79</v>
      </c>
      <c r="C8" s="20" t="n">
        <v>1.34</v>
      </c>
      <c r="D8" s="20" t="n">
        <v>2</v>
      </c>
      <c r="E8" s="20" t="n">
        <v>1.009</v>
      </c>
      <c r="F8" s="20" t="n">
        <v>0.445</v>
      </c>
      <c r="G8" s="20" t="n">
        <v>0.727</v>
      </c>
      <c r="H8" s="21" t="n">
        <v>4</v>
      </c>
    </row>
    <row r="9" customFormat="false" ht="15" hidden="false" customHeight="false" outlineLevel="0" collapsed="false">
      <c r="A9" s="19" t="s">
        <v>15</v>
      </c>
      <c r="B9" s="20" t="n">
        <v>132.65</v>
      </c>
      <c r="C9" s="20" t="n">
        <v>1.83</v>
      </c>
      <c r="D9" s="20" t="n">
        <v>3</v>
      </c>
      <c r="E9" s="20" t="n">
        <v>0.812</v>
      </c>
      <c r="F9" s="20" t="n">
        <v>0.608</v>
      </c>
      <c r="G9" s="20" t="n">
        <v>0.71</v>
      </c>
      <c r="H9" s="21" t="n">
        <v>5</v>
      </c>
    </row>
  </sheetData>
  <conditionalFormatting sqref="G5:G9">
    <cfRule type="colorScale" priority="2">
      <colorScale>
        <cfvo type="min" val="0"/>
        <cfvo type="max" val="0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7"/>
  </cols>
  <sheetData>
    <row r="1" customFormat="false" ht="16.15" hidden="false" customHeight="false" outlineLevel="0" collapsed="false">
      <c r="A1" s="17" t="s">
        <v>118</v>
      </c>
    </row>
    <row r="2" customFormat="false" ht="15" hidden="false" customHeight="false" outlineLevel="0" collapsed="false">
      <c r="A2" s="18" t="s">
        <v>119</v>
      </c>
    </row>
    <row r="4" customFormat="false" ht="30" hidden="false" customHeight="true" outlineLevel="0" collapsed="false">
      <c r="A4" s="13" t="s">
        <v>120</v>
      </c>
      <c r="B4" s="13" t="s">
        <v>37</v>
      </c>
      <c r="C4" s="13" t="s">
        <v>121</v>
      </c>
      <c r="D4" s="13" t="s">
        <v>122</v>
      </c>
      <c r="E4" s="13" t="s">
        <v>123</v>
      </c>
    </row>
    <row r="5" customFormat="false" ht="15" hidden="false" customHeight="false" outlineLevel="0" collapsed="false">
      <c r="A5" s="19" t="s">
        <v>124</v>
      </c>
      <c r="B5" s="19" t="s">
        <v>39</v>
      </c>
      <c r="C5" s="20" t="n">
        <v>11.41</v>
      </c>
      <c r="D5" s="20" t="n">
        <v>39.57</v>
      </c>
      <c r="E5" s="20" t="n">
        <v>150.73</v>
      </c>
    </row>
    <row r="6" customFormat="false" ht="15" hidden="false" customHeight="false" outlineLevel="0" collapsed="false">
      <c r="A6" s="19" t="s">
        <v>125</v>
      </c>
      <c r="B6" s="19" t="s">
        <v>39</v>
      </c>
      <c r="C6" s="20" t="n">
        <v>7.08</v>
      </c>
      <c r="D6" s="20" t="n">
        <v>21.06</v>
      </c>
      <c r="E6" s="20" t="n">
        <v>93.58</v>
      </c>
    </row>
    <row r="7" customFormat="false" ht="15" hidden="false" customHeight="false" outlineLevel="0" collapsed="false">
      <c r="A7" s="19" t="s">
        <v>124</v>
      </c>
      <c r="B7" s="19" t="s">
        <v>45</v>
      </c>
      <c r="C7" s="20" t="n">
        <v>47.1</v>
      </c>
      <c r="D7" s="20" t="n">
        <v>115.06</v>
      </c>
      <c r="E7" s="20" t="n">
        <v>793.15</v>
      </c>
    </row>
    <row r="8" customFormat="false" ht="15" hidden="false" customHeight="false" outlineLevel="0" collapsed="false">
      <c r="A8" s="19" t="s">
        <v>125</v>
      </c>
      <c r="B8" s="19" t="s">
        <v>45</v>
      </c>
      <c r="C8" s="20" t="n">
        <v>36.61</v>
      </c>
      <c r="D8" s="20" t="n">
        <v>88.16</v>
      </c>
      <c r="E8" s="20" t="n">
        <v>616.35</v>
      </c>
    </row>
    <row r="9" customFormat="false" ht="15" hidden="false" customHeight="false" outlineLevel="0" collapsed="false">
      <c r="A9" s="19" t="s">
        <v>124</v>
      </c>
      <c r="B9" s="19" t="s">
        <v>51</v>
      </c>
      <c r="C9" s="20" t="n">
        <v>2.07</v>
      </c>
      <c r="D9" s="20" t="n">
        <v>6.84</v>
      </c>
      <c r="E9" s="20" t="n">
        <v>18.87</v>
      </c>
    </row>
    <row r="10" customFormat="false" ht="15" hidden="false" customHeight="false" outlineLevel="0" collapsed="false">
      <c r="A10" s="19" t="s">
        <v>125</v>
      </c>
      <c r="B10" s="19" t="s">
        <v>51</v>
      </c>
      <c r="C10" s="20" t="n">
        <v>2.32</v>
      </c>
      <c r="D10" s="20" t="n">
        <v>7.06</v>
      </c>
      <c r="E10" s="20" t="n">
        <v>21.13</v>
      </c>
    </row>
    <row r="13" customFormat="false" ht="15" hidden="false" customHeight="false" outlineLevel="0" collapsed="false">
      <c r="A13" s="23" t="s">
        <v>126</v>
      </c>
    </row>
    <row r="14" customFormat="false" ht="15" hidden="false" customHeight="false" outlineLevel="0" collapsed="false">
      <c r="A14" s="13" t="s">
        <v>127</v>
      </c>
      <c r="B14" s="13" t="s">
        <v>128</v>
      </c>
      <c r="C14" s="13" t="s">
        <v>121</v>
      </c>
      <c r="D14" s="13" t="s">
        <v>123</v>
      </c>
    </row>
    <row r="15" customFormat="false" ht="15" hidden="false" customHeight="false" outlineLevel="0" collapsed="false">
      <c r="A15" s="19" t="n">
        <v>1</v>
      </c>
      <c r="B15" s="19" t="s">
        <v>129</v>
      </c>
      <c r="C15" s="20" t="n">
        <v>8.92</v>
      </c>
      <c r="D15" s="20" t="n">
        <v>132.7</v>
      </c>
    </row>
    <row r="16" customFormat="false" ht="15" hidden="false" customHeight="false" outlineLevel="0" collapsed="false">
      <c r="A16" s="19" t="n">
        <v>2</v>
      </c>
      <c r="B16" s="19" t="s">
        <v>130</v>
      </c>
      <c r="C16" s="20" t="n">
        <v>11.68</v>
      </c>
      <c r="D16" s="20" t="n">
        <v>175.32</v>
      </c>
    </row>
    <row r="17" customFormat="false" ht="15" hidden="false" customHeight="false" outlineLevel="0" collapsed="false">
      <c r="A17" s="19" t="n">
        <v>3</v>
      </c>
      <c r="B17" s="19" t="s">
        <v>131</v>
      </c>
      <c r="C17" s="20" t="n">
        <v>11.7</v>
      </c>
      <c r="D17" s="20" t="n">
        <v>175.6</v>
      </c>
    </row>
    <row r="18" customFormat="false" ht="15" hidden="false" customHeight="false" outlineLevel="0" collapsed="false">
      <c r="A18" s="19" t="n">
        <v>4</v>
      </c>
      <c r="B18" s="19" t="s">
        <v>132</v>
      </c>
      <c r="C18" s="20" t="n">
        <v>11.7</v>
      </c>
      <c r="D18" s="20" t="n">
        <v>175.61</v>
      </c>
    </row>
    <row r="19" customFormat="false" ht="15" hidden="false" customHeight="false" outlineLevel="0" collapsed="false">
      <c r="A19" s="19" t="n">
        <v>5</v>
      </c>
      <c r="B19" s="19" t="s">
        <v>133</v>
      </c>
      <c r="C19" s="20" t="n">
        <v>11.7</v>
      </c>
      <c r="D19" s="20" t="n">
        <v>175.62</v>
      </c>
    </row>
    <row r="20" customFormat="false" ht="15" hidden="false" customHeight="false" outlineLevel="0" collapsed="false">
      <c r="A20" s="19" t="n">
        <v>6</v>
      </c>
      <c r="B20" s="19" t="s">
        <v>134</v>
      </c>
      <c r="C20" s="20" t="n">
        <v>11.73</v>
      </c>
      <c r="D20" s="20" t="n">
        <v>176.18</v>
      </c>
    </row>
    <row r="21" customFormat="false" ht="15" hidden="false" customHeight="false" outlineLevel="0" collapsed="false">
      <c r="A21" s="19" t="n">
        <v>7</v>
      </c>
      <c r="B21" s="19" t="s">
        <v>135</v>
      </c>
      <c r="C21" s="20" t="n">
        <v>8.93</v>
      </c>
      <c r="D21" s="20" t="n">
        <v>132.8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15" hidden="false" customHeight="false" outlineLevel="0" collapsed="false">
      <c r="A1" s="24" t="s">
        <v>136</v>
      </c>
      <c r="B1" s="24" t="s">
        <v>137</v>
      </c>
      <c r="C1" s="24" t="s">
        <v>2</v>
      </c>
      <c r="D1" s="24" t="s">
        <v>37</v>
      </c>
      <c r="E1" s="24" t="s">
        <v>138</v>
      </c>
      <c r="F1" s="24" t="s">
        <v>139</v>
      </c>
      <c r="G1" s="24" t="s">
        <v>140</v>
      </c>
      <c r="H1" s="24" t="s">
        <v>141</v>
      </c>
      <c r="I1" s="24" t="s">
        <v>142</v>
      </c>
      <c r="J1" s="24" t="s">
        <v>143</v>
      </c>
      <c r="L1" s="18" t="s">
        <v>144</v>
      </c>
    </row>
    <row r="2" customFormat="false" ht="15" hidden="false" customHeight="false" outlineLevel="0" collapsed="false">
      <c r="A2" s="25" t="n">
        <v>1</v>
      </c>
      <c r="B2" s="25" t="s">
        <v>60</v>
      </c>
      <c r="C2" s="25" t="s">
        <v>17</v>
      </c>
      <c r="D2" s="25" t="s">
        <v>39</v>
      </c>
      <c r="E2" s="25" t="n">
        <v>496</v>
      </c>
      <c r="F2" s="26" t="n">
        <v>52849.73</v>
      </c>
      <c r="G2" s="26" t="n">
        <v>4029.27</v>
      </c>
      <c r="H2" s="25" t="n">
        <v>462</v>
      </c>
      <c r="I2" s="26" t="n">
        <v>9512.95</v>
      </c>
      <c r="J2" s="25" t="n">
        <v>0</v>
      </c>
    </row>
    <row r="3" customFormat="false" ht="15" hidden="false" customHeight="false" outlineLevel="0" collapsed="false">
      <c r="A3" s="25" t="n">
        <v>1</v>
      </c>
      <c r="B3" s="25" t="s">
        <v>60</v>
      </c>
      <c r="C3" s="25" t="s">
        <v>17</v>
      </c>
      <c r="D3" s="25" t="s">
        <v>45</v>
      </c>
      <c r="E3" s="25" t="n">
        <v>93</v>
      </c>
      <c r="F3" s="26" t="n">
        <v>52302.14</v>
      </c>
      <c r="G3" s="26" t="n">
        <v>3161.15</v>
      </c>
      <c r="H3" s="25" t="n">
        <v>265</v>
      </c>
      <c r="I3" s="26" t="n">
        <v>5753.24</v>
      </c>
      <c r="J3" s="25" t="n">
        <v>0</v>
      </c>
    </row>
    <row r="4" customFormat="false" ht="15" hidden="false" customHeight="false" outlineLevel="0" collapsed="false">
      <c r="A4" s="25" t="n">
        <v>1</v>
      </c>
      <c r="B4" s="25" t="s">
        <v>60</v>
      </c>
      <c r="C4" s="25" t="s">
        <v>17</v>
      </c>
      <c r="D4" s="25" t="s">
        <v>51</v>
      </c>
      <c r="E4" s="25" t="n">
        <v>279</v>
      </c>
      <c r="F4" s="26" t="n">
        <v>4312.2</v>
      </c>
      <c r="G4" s="26" t="n">
        <v>489.14</v>
      </c>
      <c r="H4" s="25" t="n">
        <v>133</v>
      </c>
      <c r="I4" s="26" t="n">
        <v>603.71</v>
      </c>
      <c r="J4" s="25" t="n">
        <v>0</v>
      </c>
    </row>
    <row r="5" customFormat="false" ht="15" hidden="false" customHeight="false" outlineLevel="0" collapsed="false">
      <c r="A5" s="25" t="n">
        <v>1</v>
      </c>
      <c r="B5" s="25" t="s">
        <v>60</v>
      </c>
      <c r="C5" s="25" t="s">
        <v>18</v>
      </c>
      <c r="D5" s="25" t="s">
        <v>39</v>
      </c>
      <c r="E5" s="25" t="n">
        <v>124</v>
      </c>
      <c r="F5" s="26" t="n">
        <v>11825.43</v>
      </c>
      <c r="G5" s="26" t="n">
        <v>914.09</v>
      </c>
      <c r="H5" s="25" t="n">
        <v>360</v>
      </c>
      <c r="I5" s="26" t="n">
        <v>2128.58</v>
      </c>
      <c r="J5" s="25" t="n">
        <v>31</v>
      </c>
    </row>
    <row r="6" customFormat="false" ht="15" hidden="false" customHeight="false" outlineLevel="0" collapsed="false">
      <c r="A6" s="25" t="n">
        <v>1</v>
      </c>
      <c r="B6" s="25" t="s">
        <v>60</v>
      </c>
      <c r="C6" s="25" t="s">
        <v>18</v>
      </c>
      <c r="D6" s="25" t="s">
        <v>45</v>
      </c>
      <c r="E6" s="25" t="n">
        <v>279</v>
      </c>
      <c r="F6" s="26" t="n">
        <v>182722.87</v>
      </c>
      <c r="G6" s="26" t="n">
        <v>10990.21</v>
      </c>
      <c r="H6" s="25" t="n">
        <v>565</v>
      </c>
      <c r="I6" s="26" t="n">
        <v>20099.52</v>
      </c>
      <c r="J6" s="25" t="n">
        <v>0</v>
      </c>
    </row>
    <row r="7" customFormat="false" ht="15" hidden="false" customHeight="false" outlineLevel="0" collapsed="false">
      <c r="A7" s="25" t="n">
        <v>1</v>
      </c>
      <c r="B7" s="25" t="s">
        <v>60</v>
      </c>
      <c r="C7" s="25" t="s">
        <v>18</v>
      </c>
      <c r="D7" s="25" t="s">
        <v>51</v>
      </c>
      <c r="E7" s="25" t="n">
        <v>279</v>
      </c>
      <c r="F7" s="26" t="n">
        <v>4800.48</v>
      </c>
      <c r="G7" s="26" t="n">
        <v>509.42</v>
      </c>
      <c r="H7" s="25" t="n">
        <v>582</v>
      </c>
      <c r="I7" s="26" t="n">
        <v>672.07</v>
      </c>
      <c r="J7" s="25" t="n">
        <v>31</v>
      </c>
    </row>
    <row r="8" customFormat="false" ht="15" hidden="false" customHeight="false" outlineLevel="0" collapsed="false">
      <c r="A8" s="25" t="n">
        <v>1</v>
      </c>
      <c r="B8" s="25" t="s">
        <v>60</v>
      </c>
      <c r="C8" s="25" t="s">
        <v>15</v>
      </c>
      <c r="D8" s="25" t="s">
        <v>39</v>
      </c>
      <c r="E8" s="25" t="n">
        <v>248</v>
      </c>
      <c r="F8" s="26" t="n">
        <v>23898.73</v>
      </c>
      <c r="G8" s="26" t="n">
        <v>1783.69</v>
      </c>
      <c r="H8" s="25" t="n">
        <v>271</v>
      </c>
      <c r="I8" s="26" t="n">
        <v>4301.77</v>
      </c>
      <c r="J8" s="25" t="n">
        <v>31</v>
      </c>
    </row>
    <row r="9" customFormat="false" ht="15" hidden="false" customHeight="false" outlineLevel="0" collapsed="false">
      <c r="A9" s="25" t="n">
        <v>1</v>
      </c>
      <c r="B9" s="25" t="s">
        <v>60</v>
      </c>
      <c r="C9" s="25" t="s">
        <v>15</v>
      </c>
      <c r="D9" s="25" t="s">
        <v>45</v>
      </c>
      <c r="E9" s="25" t="n">
        <v>93</v>
      </c>
      <c r="F9" s="26" t="n">
        <v>45876.27</v>
      </c>
      <c r="G9" s="26" t="n">
        <v>2581.55</v>
      </c>
      <c r="H9" s="25" t="n">
        <v>5</v>
      </c>
      <c r="I9" s="26" t="n">
        <v>5046.39</v>
      </c>
      <c r="J9" s="25" t="n">
        <v>0</v>
      </c>
    </row>
    <row r="10" customFormat="false" ht="15" hidden="false" customHeight="false" outlineLevel="0" collapsed="false">
      <c r="A10" s="25" t="n">
        <v>1</v>
      </c>
      <c r="B10" s="25" t="s">
        <v>60</v>
      </c>
      <c r="C10" s="25" t="s">
        <v>15</v>
      </c>
      <c r="D10" s="25" t="s">
        <v>51</v>
      </c>
      <c r="E10" s="25" t="n">
        <v>403</v>
      </c>
      <c r="F10" s="26" t="n">
        <v>5903.55</v>
      </c>
      <c r="G10" s="26" t="n">
        <v>652.84</v>
      </c>
      <c r="H10" s="25" t="n">
        <v>605</v>
      </c>
      <c r="I10" s="26" t="n">
        <v>826.5</v>
      </c>
      <c r="J10" s="25" t="n">
        <v>31</v>
      </c>
    </row>
    <row r="11" customFormat="false" ht="15" hidden="false" customHeight="false" outlineLevel="0" collapsed="false">
      <c r="A11" s="25" t="n">
        <v>1</v>
      </c>
      <c r="B11" s="25" t="s">
        <v>60</v>
      </c>
      <c r="C11" s="25" t="s">
        <v>19</v>
      </c>
      <c r="D11" s="25" t="s">
        <v>39</v>
      </c>
      <c r="E11" s="25" t="n">
        <v>124</v>
      </c>
      <c r="F11" s="26" t="n">
        <v>10833.04</v>
      </c>
      <c r="G11" s="26" t="n">
        <v>802.43</v>
      </c>
      <c r="H11" s="25" t="n">
        <v>947</v>
      </c>
      <c r="I11" s="26" t="n">
        <v>1949.95</v>
      </c>
      <c r="J11" s="25" t="n">
        <v>31</v>
      </c>
    </row>
    <row r="12" customFormat="false" ht="15" hidden="false" customHeight="false" outlineLevel="0" collapsed="false">
      <c r="A12" s="25" t="n">
        <v>1</v>
      </c>
      <c r="B12" s="25" t="s">
        <v>60</v>
      </c>
      <c r="C12" s="25" t="s">
        <v>19</v>
      </c>
      <c r="D12" s="25" t="s">
        <v>51</v>
      </c>
      <c r="E12" s="25" t="n">
        <v>620</v>
      </c>
      <c r="F12" s="26" t="n">
        <v>8617.44</v>
      </c>
      <c r="G12" s="26" t="n">
        <v>958.38</v>
      </c>
      <c r="H12" s="25" t="n">
        <v>5134</v>
      </c>
      <c r="I12" s="26" t="n">
        <v>1206.44</v>
      </c>
      <c r="J12" s="25" t="n">
        <v>155</v>
      </c>
    </row>
    <row r="13" customFormat="false" ht="15" hidden="false" customHeight="false" outlineLevel="0" collapsed="false">
      <c r="A13" s="25" t="n">
        <v>1</v>
      </c>
      <c r="B13" s="25" t="s">
        <v>60</v>
      </c>
      <c r="C13" s="25" t="s">
        <v>16</v>
      </c>
      <c r="D13" s="25" t="s">
        <v>39</v>
      </c>
      <c r="E13" s="25" t="n">
        <v>155</v>
      </c>
      <c r="F13" s="26" t="n">
        <v>18701.37</v>
      </c>
      <c r="G13" s="26" t="n">
        <v>1381.53</v>
      </c>
      <c r="H13" s="25" t="n">
        <v>527</v>
      </c>
      <c r="I13" s="26" t="n">
        <v>3366.25</v>
      </c>
      <c r="J13" s="25" t="n">
        <v>0</v>
      </c>
    </row>
    <row r="14" customFormat="false" ht="15" hidden="false" customHeight="false" outlineLevel="0" collapsed="false">
      <c r="A14" s="25" t="n">
        <v>1</v>
      </c>
      <c r="B14" s="25" t="s">
        <v>60</v>
      </c>
      <c r="C14" s="25" t="s">
        <v>16</v>
      </c>
      <c r="D14" s="25" t="s">
        <v>45</v>
      </c>
      <c r="E14" s="25" t="n">
        <v>93</v>
      </c>
      <c r="F14" s="26" t="n">
        <v>37190.03</v>
      </c>
      <c r="G14" s="26" t="n">
        <v>2196.55</v>
      </c>
      <c r="H14" s="25" t="n">
        <v>339</v>
      </c>
      <c r="I14" s="26" t="n">
        <v>4090.9</v>
      </c>
      <c r="J14" s="25" t="n">
        <v>31</v>
      </c>
    </row>
    <row r="15" customFormat="false" ht="15" hidden="false" customHeight="false" outlineLevel="0" collapsed="false">
      <c r="A15" s="25" t="n">
        <v>1</v>
      </c>
      <c r="B15" s="25" t="s">
        <v>60</v>
      </c>
      <c r="C15" s="25" t="s">
        <v>16</v>
      </c>
      <c r="D15" s="25" t="s">
        <v>51</v>
      </c>
      <c r="E15" s="25" t="n">
        <v>434</v>
      </c>
      <c r="F15" s="26" t="n">
        <v>6598.04</v>
      </c>
      <c r="G15" s="26" t="n">
        <v>701.06</v>
      </c>
      <c r="H15" s="25" t="n">
        <v>1015</v>
      </c>
      <c r="I15" s="26" t="n">
        <v>923.73</v>
      </c>
      <c r="J15" s="25" t="n">
        <v>0</v>
      </c>
    </row>
    <row r="16" customFormat="false" ht="15" hidden="false" customHeight="false" outlineLevel="0" collapsed="false">
      <c r="A16" s="25" t="n">
        <v>2</v>
      </c>
      <c r="B16" s="25" t="s">
        <v>61</v>
      </c>
      <c r="C16" s="25" t="s">
        <v>17</v>
      </c>
      <c r="D16" s="25" t="s">
        <v>39</v>
      </c>
      <c r="E16" s="25" t="n">
        <v>448</v>
      </c>
      <c r="F16" s="26" t="n">
        <v>53303.51</v>
      </c>
      <c r="G16" s="26" t="n">
        <v>4072.71</v>
      </c>
      <c r="H16" s="25" t="n">
        <v>375</v>
      </c>
      <c r="I16" s="26" t="n">
        <v>9594.63</v>
      </c>
      <c r="J16" s="25" t="n">
        <v>0</v>
      </c>
    </row>
    <row r="17" customFormat="false" ht="15" hidden="false" customHeight="false" outlineLevel="0" collapsed="false">
      <c r="A17" s="25" t="n">
        <v>2</v>
      </c>
      <c r="B17" s="25" t="s">
        <v>61</v>
      </c>
      <c r="C17" s="25" t="s">
        <v>17</v>
      </c>
      <c r="D17" s="25" t="s">
        <v>45</v>
      </c>
      <c r="E17" s="25" t="n">
        <v>84</v>
      </c>
      <c r="F17" s="26" t="n">
        <v>52923.11</v>
      </c>
      <c r="G17" s="26" t="n">
        <v>3168.95</v>
      </c>
      <c r="H17" s="25" t="n">
        <v>188</v>
      </c>
      <c r="I17" s="26" t="n">
        <v>5821.54</v>
      </c>
      <c r="J17" s="25" t="n">
        <v>0</v>
      </c>
    </row>
    <row r="18" customFormat="false" ht="15" hidden="false" customHeight="false" outlineLevel="0" collapsed="false">
      <c r="A18" s="25" t="n">
        <v>2</v>
      </c>
      <c r="B18" s="25" t="s">
        <v>61</v>
      </c>
      <c r="C18" s="25" t="s">
        <v>17</v>
      </c>
      <c r="D18" s="25" t="s">
        <v>51</v>
      </c>
      <c r="E18" s="25" t="n">
        <v>252</v>
      </c>
      <c r="F18" s="26" t="n">
        <v>4326.8</v>
      </c>
      <c r="G18" s="26" t="n">
        <v>489.26</v>
      </c>
      <c r="H18" s="25" t="n">
        <v>217</v>
      </c>
      <c r="I18" s="26" t="n">
        <v>605.75</v>
      </c>
      <c r="J18" s="25" t="n">
        <v>0</v>
      </c>
    </row>
    <row r="19" customFormat="false" ht="15" hidden="false" customHeight="false" outlineLevel="0" collapsed="false">
      <c r="A19" s="25" t="n">
        <v>2</v>
      </c>
      <c r="B19" s="25" t="s">
        <v>61</v>
      </c>
      <c r="C19" s="25" t="s">
        <v>18</v>
      </c>
      <c r="D19" s="25" t="s">
        <v>39</v>
      </c>
      <c r="E19" s="25" t="n">
        <v>112</v>
      </c>
      <c r="F19" s="26" t="n">
        <v>11822.12</v>
      </c>
      <c r="G19" s="26" t="n">
        <v>909.8</v>
      </c>
      <c r="H19" s="25" t="n">
        <v>156</v>
      </c>
      <c r="I19" s="26" t="n">
        <v>2127.98</v>
      </c>
      <c r="J19" s="25" t="n">
        <v>28</v>
      </c>
    </row>
    <row r="20" customFormat="false" ht="15" hidden="false" customHeight="false" outlineLevel="0" collapsed="false">
      <c r="A20" s="25" t="n">
        <v>2</v>
      </c>
      <c r="B20" s="25" t="s">
        <v>61</v>
      </c>
      <c r="C20" s="25" t="s">
        <v>18</v>
      </c>
      <c r="D20" s="25" t="s">
        <v>45</v>
      </c>
      <c r="E20" s="25" t="n">
        <v>252</v>
      </c>
      <c r="F20" s="26" t="n">
        <v>182340.37</v>
      </c>
      <c r="G20" s="26" t="n">
        <v>10988.11</v>
      </c>
      <c r="H20" s="25" t="n">
        <v>359</v>
      </c>
      <c r="I20" s="26" t="n">
        <v>20057.44</v>
      </c>
      <c r="J20" s="25" t="n">
        <v>0</v>
      </c>
    </row>
    <row r="21" customFormat="false" ht="15" hidden="false" customHeight="false" outlineLevel="0" collapsed="false">
      <c r="A21" s="25" t="n">
        <v>2</v>
      </c>
      <c r="B21" s="25" t="s">
        <v>61</v>
      </c>
      <c r="C21" s="25" t="s">
        <v>18</v>
      </c>
      <c r="D21" s="25" t="s">
        <v>51</v>
      </c>
      <c r="E21" s="25" t="n">
        <v>252</v>
      </c>
      <c r="F21" s="26" t="n">
        <v>4781.77</v>
      </c>
      <c r="G21" s="26" t="n">
        <v>507.01</v>
      </c>
      <c r="H21" s="25" t="n">
        <v>711</v>
      </c>
      <c r="I21" s="26" t="n">
        <v>669.45</v>
      </c>
      <c r="J21" s="25" t="n">
        <v>28</v>
      </c>
    </row>
    <row r="22" customFormat="false" ht="15" hidden="false" customHeight="false" outlineLevel="0" collapsed="false">
      <c r="A22" s="25" t="n">
        <v>2</v>
      </c>
      <c r="B22" s="25" t="s">
        <v>61</v>
      </c>
      <c r="C22" s="25" t="s">
        <v>15</v>
      </c>
      <c r="D22" s="25" t="s">
        <v>39</v>
      </c>
      <c r="E22" s="25" t="n">
        <v>224</v>
      </c>
      <c r="F22" s="26" t="n">
        <v>24153.02</v>
      </c>
      <c r="G22" s="26" t="n">
        <v>1805.14</v>
      </c>
      <c r="H22" s="25" t="n">
        <v>270</v>
      </c>
      <c r="I22" s="26" t="n">
        <v>4347.54</v>
      </c>
      <c r="J22" s="25" t="n">
        <v>28</v>
      </c>
    </row>
    <row r="23" customFormat="false" ht="15" hidden="false" customHeight="false" outlineLevel="0" collapsed="false">
      <c r="A23" s="25" t="n">
        <v>2</v>
      </c>
      <c r="B23" s="25" t="s">
        <v>61</v>
      </c>
      <c r="C23" s="25" t="s">
        <v>15</v>
      </c>
      <c r="D23" s="25" t="s">
        <v>45</v>
      </c>
      <c r="E23" s="25" t="n">
        <v>84</v>
      </c>
      <c r="F23" s="26" t="n">
        <v>45311.5</v>
      </c>
      <c r="G23" s="26" t="n">
        <v>2542.87</v>
      </c>
      <c r="H23" s="25" t="n">
        <v>12</v>
      </c>
      <c r="I23" s="26" t="n">
        <v>4984.27</v>
      </c>
      <c r="J23" s="25" t="n">
        <v>0</v>
      </c>
    </row>
    <row r="24" customFormat="false" ht="15" hidden="false" customHeight="false" outlineLevel="0" collapsed="false">
      <c r="A24" s="25" t="n">
        <v>2</v>
      </c>
      <c r="B24" s="25" t="s">
        <v>61</v>
      </c>
      <c r="C24" s="25" t="s">
        <v>15</v>
      </c>
      <c r="D24" s="25" t="s">
        <v>51</v>
      </c>
      <c r="E24" s="25" t="n">
        <v>364</v>
      </c>
      <c r="F24" s="26" t="n">
        <v>5885.5</v>
      </c>
      <c r="G24" s="26" t="n">
        <v>649.9</v>
      </c>
      <c r="H24" s="25" t="n">
        <v>900</v>
      </c>
      <c r="I24" s="26" t="n">
        <v>823.97</v>
      </c>
      <c r="J24" s="25" t="n">
        <v>28</v>
      </c>
    </row>
    <row r="25" customFormat="false" ht="15" hidden="false" customHeight="false" outlineLevel="0" collapsed="false">
      <c r="A25" s="25" t="n">
        <v>2</v>
      </c>
      <c r="B25" s="25" t="s">
        <v>61</v>
      </c>
      <c r="C25" s="25" t="s">
        <v>19</v>
      </c>
      <c r="D25" s="25" t="s">
        <v>39</v>
      </c>
      <c r="E25" s="25" t="n">
        <v>112</v>
      </c>
      <c r="F25" s="26" t="n">
        <v>11271.06</v>
      </c>
      <c r="G25" s="26" t="n">
        <v>834.16</v>
      </c>
      <c r="H25" s="25" t="n">
        <v>590</v>
      </c>
      <c r="I25" s="26" t="n">
        <v>2028.79</v>
      </c>
      <c r="J25" s="25" t="n">
        <v>28</v>
      </c>
    </row>
    <row r="26" customFormat="false" ht="15" hidden="false" customHeight="false" outlineLevel="0" collapsed="false">
      <c r="A26" s="25" t="n">
        <v>2</v>
      </c>
      <c r="B26" s="25" t="s">
        <v>61</v>
      </c>
      <c r="C26" s="25" t="s">
        <v>19</v>
      </c>
      <c r="D26" s="25" t="s">
        <v>51</v>
      </c>
      <c r="E26" s="25" t="n">
        <v>560</v>
      </c>
      <c r="F26" s="26" t="n">
        <v>8606.7</v>
      </c>
      <c r="G26" s="26" t="n">
        <v>961.01</v>
      </c>
      <c r="H26" s="25" t="n">
        <v>4027</v>
      </c>
      <c r="I26" s="26" t="n">
        <v>1204.94</v>
      </c>
      <c r="J26" s="25" t="n">
        <v>140</v>
      </c>
    </row>
    <row r="27" customFormat="false" ht="15" hidden="false" customHeight="false" outlineLevel="0" collapsed="false">
      <c r="A27" s="25" t="n">
        <v>2</v>
      </c>
      <c r="B27" s="25" t="s">
        <v>61</v>
      </c>
      <c r="C27" s="25" t="s">
        <v>16</v>
      </c>
      <c r="D27" s="25" t="s">
        <v>39</v>
      </c>
      <c r="E27" s="25" t="n">
        <v>140</v>
      </c>
      <c r="F27" s="26" t="n">
        <v>19050.2</v>
      </c>
      <c r="G27" s="26" t="n">
        <v>1405.38</v>
      </c>
      <c r="H27" s="25" t="n">
        <v>366</v>
      </c>
      <c r="I27" s="26" t="n">
        <v>3429.04</v>
      </c>
      <c r="J27" s="25" t="n">
        <v>0</v>
      </c>
    </row>
    <row r="28" customFormat="false" ht="15" hidden="false" customHeight="false" outlineLevel="0" collapsed="false">
      <c r="A28" s="25" t="n">
        <v>2</v>
      </c>
      <c r="B28" s="25" t="s">
        <v>61</v>
      </c>
      <c r="C28" s="25" t="s">
        <v>16</v>
      </c>
      <c r="D28" s="25" t="s">
        <v>45</v>
      </c>
      <c r="E28" s="25" t="n">
        <v>84</v>
      </c>
      <c r="F28" s="26" t="n">
        <v>36535.39</v>
      </c>
      <c r="G28" s="26" t="n">
        <v>2152.65</v>
      </c>
      <c r="H28" s="25" t="n">
        <v>425</v>
      </c>
      <c r="I28" s="26" t="n">
        <v>4018.89</v>
      </c>
      <c r="J28" s="25" t="n">
        <v>28</v>
      </c>
    </row>
    <row r="29" customFormat="false" ht="15" hidden="false" customHeight="false" outlineLevel="0" collapsed="false">
      <c r="A29" s="25" t="n">
        <v>2</v>
      </c>
      <c r="B29" s="25" t="s">
        <v>61</v>
      </c>
      <c r="C29" s="25" t="s">
        <v>16</v>
      </c>
      <c r="D29" s="25" t="s">
        <v>51</v>
      </c>
      <c r="E29" s="25" t="n">
        <v>392</v>
      </c>
      <c r="F29" s="26" t="n">
        <v>6578.18</v>
      </c>
      <c r="G29" s="26" t="n">
        <v>699.94</v>
      </c>
      <c r="H29" s="25" t="n">
        <v>523</v>
      </c>
      <c r="I29" s="26" t="n">
        <v>920.95</v>
      </c>
      <c r="J29" s="25" t="n">
        <v>0</v>
      </c>
    </row>
    <row r="30" customFormat="false" ht="15" hidden="false" customHeight="false" outlineLevel="0" collapsed="false">
      <c r="A30" s="25" t="n">
        <v>3</v>
      </c>
      <c r="B30" s="25" t="s">
        <v>62</v>
      </c>
      <c r="C30" s="25" t="s">
        <v>17</v>
      </c>
      <c r="D30" s="25" t="s">
        <v>39</v>
      </c>
      <c r="E30" s="25" t="n">
        <v>496</v>
      </c>
      <c r="F30" s="26" t="n">
        <v>66391.58</v>
      </c>
      <c r="G30" s="26" t="n">
        <v>5094.17</v>
      </c>
      <c r="H30" s="25" t="n">
        <v>713</v>
      </c>
      <c r="I30" s="26" t="n">
        <v>11950.48</v>
      </c>
      <c r="J30" s="25" t="n">
        <v>0</v>
      </c>
    </row>
    <row r="31" customFormat="false" ht="15" hidden="false" customHeight="false" outlineLevel="0" collapsed="false">
      <c r="A31" s="25" t="n">
        <v>3</v>
      </c>
      <c r="B31" s="25" t="s">
        <v>62</v>
      </c>
      <c r="C31" s="25" t="s">
        <v>17</v>
      </c>
      <c r="D31" s="25" t="s">
        <v>45</v>
      </c>
      <c r="E31" s="25" t="n">
        <v>93</v>
      </c>
      <c r="F31" s="26" t="n">
        <v>65749.46</v>
      </c>
      <c r="G31" s="26" t="n">
        <v>3973.84</v>
      </c>
      <c r="H31" s="25" t="n">
        <v>209</v>
      </c>
      <c r="I31" s="26" t="n">
        <v>7232.44</v>
      </c>
      <c r="J31" s="25" t="n">
        <v>0</v>
      </c>
    </row>
    <row r="32" customFormat="false" ht="15" hidden="false" customHeight="false" outlineLevel="0" collapsed="false">
      <c r="A32" s="25" t="n">
        <v>3</v>
      </c>
      <c r="B32" s="25" t="s">
        <v>62</v>
      </c>
      <c r="C32" s="25" t="s">
        <v>17</v>
      </c>
      <c r="D32" s="25" t="s">
        <v>51</v>
      </c>
      <c r="E32" s="25" t="n">
        <v>279</v>
      </c>
      <c r="F32" s="26" t="n">
        <v>5426.64</v>
      </c>
      <c r="G32" s="26" t="n">
        <v>613.56</v>
      </c>
      <c r="H32" s="25" t="n">
        <v>221</v>
      </c>
      <c r="I32" s="26" t="n">
        <v>759.73</v>
      </c>
      <c r="J32" s="25" t="n">
        <v>0</v>
      </c>
    </row>
    <row r="33" customFormat="false" ht="15" hidden="false" customHeight="false" outlineLevel="0" collapsed="false">
      <c r="A33" s="25" t="n">
        <v>3</v>
      </c>
      <c r="B33" s="25" t="s">
        <v>62</v>
      </c>
      <c r="C33" s="25" t="s">
        <v>18</v>
      </c>
      <c r="D33" s="25" t="s">
        <v>39</v>
      </c>
      <c r="E33" s="25" t="n">
        <v>124</v>
      </c>
      <c r="F33" s="26" t="n">
        <v>14895.31</v>
      </c>
      <c r="G33" s="26" t="n">
        <v>1149.28</v>
      </c>
      <c r="H33" s="25" t="n">
        <v>181</v>
      </c>
      <c r="I33" s="26" t="n">
        <v>2681.16</v>
      </c>
      <c r="J33" s="25" t="n">
        <v>31</v>
      </c>
    </row>
    <row r="34" customFormat="false" ht="15" hidden="false" customHeight="false" outlineLevel="0" collapsed="false">
      <c r="A34" s="25" t="n">
        <v>3</v>
      </c>
      <c r="B34" s="25" t="s">
        <v>62</v>
      </c>
      <c r="C34" s="25" t="s">
        <v>18</v>
      </c>
      <c r="D34" s="25" t="s">
        <v>45</v>
      </c>
      <c r="E34" s="25" t="n">
        <v>279</v>
      </c>
      <c r="F34" s="26" t="n">
        <v>227968.4</v>
      </c>
      <c r="G34" s="26" t="n">
        <v>13728.19</v>
      </c>
      <c r="H34" s="25" t="n">
        <v>820</v>
      </c>
      <c r="I34" s="26" t="n">
        <v>25076.52</v>
      </c>
      <c r="J34" s="25" t="n">
        <v>0</v>
      </c>
    </row>
    <row r="35" customFormat="false" ht="15" hidden="false" customHeight="false" outlineLevel="0" collapsed="false">
      <c r="A35" s="25" t="n">
        <v>3</v>
      </c>
      <c r="B35" s="25" t="s">
        <v>62</v>
      </c>
      <c r="C35" s="25" t="s">
        <v>18</v>
      </c>
      <c r="D35" s="25" t="s">
        <v>51</v>
      </c>
      <c r="E35" s="25" t="n">
        <v>279</v>
      </c>
      <c r="F35" s="26" t="n">
        <v>6006.47</v>
      </c>
      <c r="G35" s="26" t="n">
        <v>638.37</v>
      </c>
      <c r="H35" s="25" t="n">
        <v>637</v>
      </c>
      <c r="I35" s="26" t="n">
        <v>840.91</v>
      </c>
      <c r="J35" s="25" t="n">
        <v>31</v>
      </c>
    </row>
    <row r="36" customFormat="false" ht="15" hidden="false" customHeight="false" outlineLevel="0" collapsed="false">
      <c r="A36" s="25" t="n">
        <v>3</v>
      </c>
      <c r="B36" s="25" t="s">
        <v>62</v>
      </c>
      <c r="C36" s="25" t="s">
        <v>15</v>
      </c>
      <c r="D36" s="25" t="s">
        <v>39</v>
      </c>
      <c r="E36" s="25" t="n">
        <v>248</v>
      </c>
      <c r="F36" s="26" t="n">
        <v>30172.14</v>
      </c>
      <c r="G36" s="26" t="n">
        <v>2259.46</v>
      </c>
      <c r="H36" s="25" t="n">
        <v>787</v>
      </c>
      <c r="I36" s="26" t="n">
        <v>5430.99</v>
      </c>
      <c r="J36" s="25" t="n">
        <v>31</v>
      </c>
    </row>
    <row r="37" customFormat="false" ht="15" hidden="false" customHeight="false" outlineLevel="0" collapsed="false">
      <c r="A37" s="25" t="n">
        <v>3</v>
      </c>
      <c r="B37" s="25" t="s">
        <v>62</v>
      </c>
      <c r="C37" s="25" t="s">
        <v>15</v>
      </c>
      <c r="D37" s="25" t="s">
        <v>45</v>
      </c>
      <c r="E37" s="25" t="n">
        <v>93</v>
      </c>
      <c r="F37" s="26" t="n">
        <v>57903.05</v>
      </c>
      <c r="G37" s="26" t="n">
        <v>3232.13</v>
      </c>
      <c r="H37" s="25" t="n">
        <v>77</v>
      </c>
      <c r="I37" s="26" t="n">
        <v>6369.34</v>
      </c>
      <c r="J37" s="25" t="n">
        <v>0</v>
      </c>
    </row>
    <row r="38" customFormat="false" ht="15" hidden="false" customHeight="false" outlineLevel="0" collapsed="false">
      <c r="A38" s="25" t="n">
        <v>3</v>
      </c>
      <c r="B38" s="25" t="s">
        <v>62</v>
      </c>
      <c r="C38" s="25" t="s">
        <v>15</v>
      </c>
      <c r="D38" s="25" t="s">
        <v>51</v>
      </c>
      <c r="E38" s="25" t="n">
        <v>403</v>
      </c>
      <c r="F38" s="26" t="n">
        <v>7412.27</v>
      </c>
      <c r="G38" s="26" t="n">
        <v>821.23</v>
      </c>
      <c r="H38" s="25" t="n">
        <v>692</v>
      </c>
      <c r="I38" s="26" t="n">
        <v>1037.72</v>
      </c>
      <c r="J38" s="25" t="n">
        <v>31</v>
      </c>
    </row>
    <row r="39" customFormat="false" ht="15" hidden="false" customHeight="false" outlineLevel="0" collapsed="false">
      <c r="A39" s="25" t="n">
        <v>3</v>
      </c>
      <c r="B39" s="25" t="s">
        <v>62</v>
      </c>
      <c r="C39" s="25" t="s">
        <v>19</v>
      </c>
      <c r="D39" s="25" t="s">
        <v>39</v>
      </c>
      <c r="E39" s="25" t="n">
        <v>124</v>
      </c>
      <c r="F39" s="26" t="n">
        <v>13789.44</v>
      </c>
      <c r="G39" s="26" t="n">
        <v>1020.6</v>
      </c>
      <c r="H39" s="25" t="n">
        <v>1175</v>
      </c>
      <c r="I39" s="26" t="n">
        <v>2482.1</v>
      </c>
      <c r="J39" s="25" t="n">
        <v>31</v>
      </c>
    </row>
    <row r="40" customFormat="false" ht="15" hidden="false" customHeight="false" outlineLevel="0" collapsed="false">
      <c r="A40" s="25" t="n">
        <v>3</v>
      </c>
      <c r="B40" s="25" t="s">
        <v>62</v>
      </c>
      <c r="C40" s="25" t="s">
        <v>19</v>
      </c>
      <c r="D40" s="25" t="s">
        <v>51</v>
      </c>
      <c r="E40" s="25" t="n">
        <v>620</v>
      </c>
      <c r="F40" s="26" t="n">
        <v>10878.48</v>
      </c>
      <c r="G40" s="26" t="n">
        <v>1211.87</v>
      </c>
      <c r="H40" s="25" t="n">
        <v>3186</v>
      </c>
      <c r="I40" s="26" t="n">
        <v>1522.99</v>
      </c>
      <c r="J40" s="25" t="n">
        <v>155</v>
      </c>
    </row>
    <row r="41" customFormat="false" ht="15" hidden="false" customHeight="false" outlineLevel="0" collapsed="false">
      <c r="A41" s="25" t="n">
        <v>3</v>
      </c>
      <c r="B41" s="25" t="s">
        <v>62</v>
      </c>
      <c r="C41" s="25" t="s">
        <v>16</v>
      </c>
      <c r="D41" s="25" t="s">
        <v>39</v>
      </c>
      <c r="E41" s="25" t="n">
        <v>155</v>
      </c>
      <c r="F41" s="26" t="n">
        <v>24528.4</v>
      </c>
      <c r="G41" s="26" t="n">
        <v>1813.86</v>
      </c>
      <c r="H41" s="25" t="n">
        <v>400</v>
      </c>
      <c r="I41" s="26" t="n">
        <v>4415.11</v>
      </c>
      <c r="J41" s="25" t="n">
        <v>0</v>
      </c>
    </row>
    <row r="42" customFormat="false" ht="15" hidden="false" customHeight="false" outlineLevel="0" collapsed="false">
      <c r="A42" s="25" t="n">
        <v>3</v>
      </c>
      <c r="B42" s="25" t="s">
        <v>62</v>
      </c>
      <c r="C42" s="25" t="s">
        <v>16</v>
      </c>
      <c r="D42" s="25" t="s">
        <v>45</v>
      </c>
      <c r="E42" s="25" t="n">
        <v>93</v>
      </c>
      <c r="F42" s="26" t="n">
        <v>46873.5</v>
      </c>
      <c r="G42" s="26" t="n">
        <v>2768.01</v>
      </c>
      <c r="H42" s="25" t="n">
        <v>204</v>
      </c>
      <c r="I42" s="26" t="n">
        <v>5156.09</v>
      </c>
      <c r="J42" s="25" t="n">
        <v>31</v>
      </c>
    </row>
    <row r="43" customFormat="false" ht="15" hidden="false" customHeight="false" outlineLevel="0" collapsed="false">
      <c r="A43" s="25" t="n">
        <v>3</v>
      </c>
      <c r="B43" s="25" t="s">
        <v>62</v>
      </c>
      <c r="C43" s="25" t="s">
        <v>16</v>
      </c>
      <c r="D43" s="25" t="s">
        <v>51</v>
      </c>
      <c r="E43" s="25" t="n">
        <v>434</v>
      </c>
      <c r="F43" s="26" t="n">
        <v>8238.7</v>
      </c>
      <c r="G43" s="26" t="n">
        <v>876.36</v>
      </c>
      <c r="H43" s="25" t="n">
        <v>985</v>
      </c>
      <c r="I43" s="26" t="n">
        <v>1153.42</v>
      </c>
      <c r="J43" s="25" t="n">
        <v>0</v>
      </c>
    </row>
    <row r="44" customFormat="false" ht="15" hidden="false" customHeight="false" outlineLevel="0" collapsed="false">
      <c r="A44" s="25" t="n">
        <v>4</v>
      </c>
      <c r="B44" s="25" t="s">
        <v>63</v>
      </c>
      <c r="C44" s="25" t="s">
        <v>17</v>
      </c>
      <c r="D44" s="25" t="s">
        <v>39</v>
      </c>
      <c r="E44" s="25" t="n">
        <v>480</v>
      </c>
      <c r="F44" s="26" t="n">
        <v>70480.86</v>
      </c>
      <c r="G44" s="26" t="n">
        <v>5409.1</v>
      </c>
      <c r="H44" s="25" t="n">
        <v>617</v>
      </c>
      <c r="I44" s="26" t="n">
        <v>13701.48</v>
      </c>
      <c r="J44" s="25" t="n">
        <v>0</v>
      </c>
    </row>
    <row r="45" customFormat="false" ht="15" hidden="false" customHeight="false" outlineLevel="0" collapsed="false">
      <c r="A45" s="25" t="n">
        <v>4</v>
      </c>
      <c r="B45" s="25" t="s">
        <v>63</v>
      </c>
      <c r="C45" s="25" t="s">
        <v>17</v>
      </c>
      <c r="D45" s="25" t="s">
        <v>45</v>
      </c>
      <c r="E45" s="25" t="n">
        <v>90</v>
      </c>
      <c r="F45" s="26" t="n">
        <v>73614.96</v>
      </c>
      <c r="G45" s="26" t="n">
        <v>4411.29</v>
      </c>
      <c r="H45" s="25" t="n">
        <v>132</v>
      </c>
      <c r="I45" s="26" t="n">
        <v>8745.46</v>
      </c>
      <c r="J45" s="25" t="n">
        <v>0</v>
      </c>
    </row>
    <row r="46" customFormat="false" ht="15" hidden="false" customHeight="false" outlineLevel="0" collapsed="false">
      <c r="A46" s="25" t="n">
        <v>4</v>
      </c>
      <c r="B46" s="25" t="s">
        <v>63</v>
      </c>
      <c r="C46" s="25" t="s">
        <v>17</v>
      </c>
      <c r="D46" s="25" t="s">
        <v>51</v>
      </c>
      <c r="E46" s="25" t="n">
        <v>270</v>
      </c>
      <c r="F46" s="26" t="n">
        <v>5941.58</v>
      </c>
      <c r="G46" s="26" t="n">
        <v>673.58</v>
      </c>
      <c r="H46" s="25" t="n">
        <v>172</v>
      </c>
      <c r="I46" s="26" t="n">
        <v>898.37</v>
      </c>
      <c r="J46" s="25" t="n">
        <v>0</v>
      </c>
    </row>
    <row r="47" customFormat="false" ht="15" hidden="false" customHeight="false" outlineLevel="0" collapsed="false">
      <c r="A47" s="25" t="n">
        <v>4</v>
      </c>
      <c r="B47" s="25" t="s">
        <v>63</v>
      </c>
      <c r="C47" s="25" t="s">
        <v>18</v>
      </c>
      <c r="D47" s="25" t="s">
        <v>39</v>
      </c>
      <c r="E47" s="25" t="n">
        <v>120</v>
      </c>
      <c r="F47" s="26" t="n">
        <v>15907.99</v>
      </c>
      <c r="G47" s="26" t="n">
        <v>1229.74</v>
      </c>
      <c r="H47" s="25" t="n">
        <v>414</v>
      </c>
      <c r="I47" s="26" t="n">
        <v>3092.51</v>
      </c>
      <c r="J47" s="25" t="n">
        <v>30</v>
      </c>
    </row>
    <row r="48" customFormat="false" ht="15" hidden="false" customHeight="false" outlineLevel="0" collapsed="false">
      <c r="A48" s="25" t="n">
        <v>4</v>
      </c>
      <c r="B48" s="25" t="s">
        <v>63</v>
      </c>
      <c r="C48" s="25" t="s">
        <v>18</v>
      </c>
      <c r="D48" s="25" t="s">
        <v>45</v>
      </c>
      <c r="E48" s="25" t="n">
        <v>270</v>
      </c>
      <c r="F48" s="26" t="n">
        <v>250312.09</v>
      </c>
      <c r="G48" s="26" t="n">
        <v>15028.14</v>
      </c>
      <c r="H48" s="25" t="n">
        <v>639</v>
      </c>
      <c r="I48" s="26" t="n">
        <v>29737.08</v>
      </c>
      <c r="J48" s="25" t="n">
        <v>0</v>
      </c>
    </row>
    <row r="49" customFormat="false" ht="15" hidden="false" customHeight="false" outlineLevel="0" collapsed="false">
      <c r="A49" s="25" t="n">
        <v>4</v>
      </c>
      <c r="B49" s="25" t="s">
        <v>63</v>
      </c>
      <c r="C49" s="25" t="s">
        <v>18</v>
      </c>
      <c r="D49" s="25" t="s">
        <v>51</v>
      </c>
      <c r="E49" s="25" t="n">
        <v>270</v>
      </c>
      <c r="F49" s="26" t="n">
        <v>6588.96</v>
      </c>
      <c r="G49" s="26" t="n">
        <v>698.76</v>
      </c>
      <c r="H49" s="25" t="n">
        <v>496</v>
      </c>
      <c r="I49" s="26" t="n">
        <v>996.25</v>
      </c>
      <c r="J49" s="25" t="n">
        <v>30</v>
      </c>
    </row>
    <row r="50" customFormat="false" ht="15" hidden="false" customHeight="false" outlineLevel="0" collapsed="false">
      <c r="A50" s="25" t="n">
        <v>4</v>
      </c>
      <c r="B50" s="25" t="s">
        <v>63</v>
      </c>
      <c r="C50" s="25" t="s">
        <v>15</v>
      </c>
      <c r="D50" s="25" t="s">
        <v>39</v>
      </c>
      <c r="E50" s="25" t="n">
        <v>240</v>
      </c>
      <c r="F50" s="26" t="n">
        <v>32292.65</v>
      </c>
      <c r="G50" s="26" t="n">
        <v>2416.48</v>
      </c>
      <c r="H50" s="25" t="n">
        <v>938</v>
      </c>
      <c r="I50" s="26" t="n">
        <v>6277.69</v>
      </c>
      <c r="J50" s="25" t="n">
        <v>30</v>
      </c>
    </row>
    <row r="51" customFormat="false" ht="15" hidden="false" customHeight="false" outlineLevel="0" collapsed="false">
      <c r="A51" s="25" t="n">
        <v>4</v>
      </c>
      <c r="B51" s="25" t="s">
        <v>63</v>
      </c>
      <c r="C51" s="25" t="s">
        <v>15</v>
      </c>
      <c r="D51" s="25" t="s">
        <v>45</v>
      </c>
      <c r="E51" s="25" t="n">
        <v>90</v>
      </c>
      <c r="F51" s="26" t="n">
        <v>64335.78</v>
      </c>
      <c r="G51" s="26" t="n">
        <v>3597.42</v>
      </c>
      <c r="H51" s="25" t="n">
        <v>226</v>
      </c>
      <c r="I51" s="26" t="n">
        <v>7643.09</v>
      </c>
      <c r="J51" s="25" t="n">
        <v>0</v>
      </c>
    </row>
    <row r="52" customFormat="false" ht="15" hidden="false" customHeight="false" outlineLevel="0" collapsed="false">
      <c r="A52" s="25" t="n">
        <v>4</v>
      </c>
      <c r="B52" s="25" t="s">
        <v>63</v>
      </c>
      <c r="C52" s="25" t="s">
        <v>15</v>
      </c>
      <c r="D52" s="25" t="s">
        <v>51</v>
      </c>
      <c r="E52" s="25" t="n">
        <v>390</v>
      </c>
      <c r="F52" s="26" t="n">
        <v>8134.74</v>
      </c>
      <c r="G52" s="26" t="n">
        <v>898.02</v>
      </c>
      <c r="H52" s="25" t="n">
        <v>447</v>
      </c>
      <c r="I52" s="26" t="n">
        <v>1229.97</v>
      </c>
      <c r="J52" s="25" t="n">
        <v>30</v>
      </c>
    </row>
    <row r="53" customFormat="false" ht="15" hidden="false" customHeight="false" outlineLevel="0" collapsed="false">
      <c r="A53" s="25" t="n">
        <v>4</v>
      </c>
      <c r="B53" s="25" t="s">
        <v>63</v>
      </c>
      <c r="C53" s="25" t="s">
        <v>19</v>
      </c>
      <c r="D53" s="25" t="s">
        <v>39</v>
      </c>
      <c r="E53" s="25" t="n">
        <v>120</v>
      </c>
      <c r="F53" s="26" t="n">
        <v>14586.1</v>
      </c>
      <c r="G53" s="26" t="n">
        <v>1083.29</v>
      </c>
      <c r="H53" s="25" t="n">
        <v>607</v>
      </c>
      <c r="I53" s="26" t="n">
        <v>2835.54</v>
      </c>
      <c r="J53" s="25" t="n">
        <v>30</v>
      </c>
    </row>
    <row r="54" customFormat="false" ht="15" hidden="false" customHeight="false" outlineLevel="0" collapsed="false">
      <c r="A54" s="25" t="n">
        <v>4</v>
      </c>
      <c r="B54" s="25" t="s">
        <v>63</v>
      </c>
      <c r="C54" s="25" t="s">
        <v>19</v>
      </c>
      <c r="D54" s="25" t="s">
        <v>51</v>
      </c>
      <c r="E54" s="25" t="n">
        <v>600</v>
      </c>
      <c r="F54" s="26" t="n">
        <v>11803.81</v>
      </c>
      <c r="G54" s="26" t="n">
        <v>1314.36</v>
      </c>
      <c r="H54" s="25" t="n">
        <v>3663</v>
      </c>
      <c r="I54" s="26" t="n">
        <v>1784.74</v>
      </c>
      <c r="J54" s="25" t="n">
        <v>150</v>
      </c>
    </row>
    <row r="55" customFormat="false" ht="15" hidden="false" customHeight="false" outlineLevel="0" collapsed="false">
      <c r="A55" s="25" t="n">
        <v>4</v>
      </c>
      <c r="B55" s="25" t="s">
        <v>63</v>
      </c>
      <c r="C55" s="25" t="s">
        <v>16</v>
      </c>
      <c r="D55" s="25" t="s">
        <v>39</v>
      </c>
      <c r="E55" s="25" t="n">
        <v>150</v>
      </c>
      <c r="F55" s="26" t="n">
        <v>25779.74</v>
      </c>
      <c r="G55" s="26" t="n">
        <v>1904.49</v>
      </c>
      <c r="H55" s="25" t="n">
        <v>440</v>
      </c>
      <c r="I55" s="26" t="n">
        <v>5011.58</v>
      </c>
      <c r="J55" s="25" t="n">
        <v>0</v>
      </c>
    </row>
    <row r="56" customFormat="false" ht="15" hidden="false" customHeight="false" outlineLevel="0" collapsed="false">
      <c r="A56" s="25" t="n">
        <v>4</v>
      </c>
      <c r="B56" s="25" t="s">
        <v>63</v>
      </c>
      <c r="C56" s="25" t="s">
        <v>16</v>
      </c>
      <c r="D56" s="25" t="s">
        <v>45</v>
      </c>
      <c r="E56" s="25" t="n">
        <v>90</v>
      </c>
      <c r="F56" s="26" t="n">
        <v>49795.23</v>
      </c>
      <c r="G56" s="26" t="n">
        <v>2933.5</v>
      </c>
      <c r="H56" s="25" t="n">
        <v>188</v>
      </c>
      <c r="I56" s="26" t="n">
        <v>5915.67</v>
      </c>
      <c r="J56" s="25" t="n">
        <v>30</v>
      </c>
    </row>
    <row r="57" customFormat="false" ht="15" hidden="false" customHeight="false" outlineLevel="0" collapsed="false">
      <c r="A57" s="25" t="n">
        <v>4</v>
      </c>
      <c r="B57" s="25" t="s">
        <v>63</v>
      </c>
      <c r="C57" s="25" t="s">
        <v>16</v>
      </c>
      <c r="D57" s="25" t="s">
        <v>51</v>
      </c>
      <c r="E57" s="25" t="n">
        <v>420</v>
      </c>
      <c r="F57" s="26" t="n">
        <v>9134.01</v>
      </c>
      <c r="G57" s="26" t="n">
        <v>973.24</v>
      </c>
      <c r="H57" s="25" t="n">
        <v>775</v>
      </c>
      <c r="I57" s="26" t="n">
        <v>1381.06</v>
      </c>
      <c r="J57" s="25" t="n">
        <v>0</v>
      </c>
    </row>
    <row r="58" customFormat="false" ht="15" hidden="false" customHeight="false" outlineLevel="0" collapsed="false">
      <c r="A58" s="25" t="n">
        <v>5</v>
      </c>
      <c r="B58" s="25" t="s">
        <v>64</v>
      </c>
      <c r="C58" s="25" t="s">
        <v>17</v>
      </c>
      <c r="D58" s="25" t="s">
        <v>39</v>
      </c>
      <c r="E58" s="25" t="n">
        <v>496</v>
      </c>
      <c r="F58" s="26" t="n">
        <v>82862.5</v>
      </c>
      <c r="G58" s="26" t="n">
        <v>6334.76</v>
      </c>
      <c r="H58" s="25" t="n">
        <v>654</v>
      </c>
      <c r="I58" s="26" t="n">
        <v>16108.47</v>
      </c>
      <c r="J58" s="25" t="n">
        <v>18</v>
      </c>
    </row>
    <row r="59" customFormat="false" ht="15" hidden="false" customHeight="false" outlineLevel="0" collapsed="false">
      <c r="A59" s="25" t="n">
        <v>5</v>
      </c>
      <c r="B59" s="25" t="s">
        <v>64</v>
      </c>
      <c r="C59" s="25" t="s">
        <v>17</v>
      </c>
      <c r="D59" s="25" t="s">
        <v>45</v>
      </c>
      <c r="E59" s="25" t="n">
        <v>93</v>
      </c>
      <c r="F59" s="26" t="n">
        <v>81453.13</v>
      </c>
      <c r="G59" s="26" t="n">
        <v>4948.26</v>
      </c>
      <c r="H59" s="25" t="n">
        <v>528</v>
      </c>
      <c r="I59" s="26" t="n">
        <v>9676.63</v>
      </c>
      <c r="J59" s="25" t="n">
        <v>0</v>
      </c>
    </row>
    <row r="60" customFormat="false" ht="15" hidden="false" customHeight="false" outlineLevel="0" collapsed="false">
      <c r="A60" s="25" t="n">
        <v>5</v>
      </c>
      <c r="B60" s="25" t="s">
        <v>64</v>
      </c>
      <c r="C60" s="25" t="s">
        <v>17</v>
      </c>
      <c r="D60" s="25" t="s">
        <v>51</v>
      </c>
      <c r="E60" s="25" t="n">
        <v>279</v>
      </c>
      <c r="F60" s="26" t="n">
        <v>6746.67</v>
      </c>
      <c r="G60" s="26" t="n">
        <v>766.06</v>
      </c>
      <c r="H60" s="25" t="n">
        <v>129</v>
      </c>
      <c r="I60" s="26" t="n">
        <v>1020.1</v>
      </c>
      <c r="J60" s="25" t="n">
        <v>0</v>
      </c>
    </row>
    <row r="61" customFormat="false" ht="15" hidden="false" customHeight="false" outlineLevel="0" collapsed="false">
      <c r="A61" s="25" t="n">
        <v>5</v>
      </c>
      <c r="B61" s="25" t="s">
        <v>64</v>
      </c>
      <c r="C61" s="25" t="s">
        <v>18</v>
      </c>
      <c r="D61" s="25" t="s">
        <v>39</v>
      </c>
      <c r="E61" s="25" t="n">
        <v>124</v>
      </c>
      <c r="F61" s="26" t="n">
        <v>18458.96</v>
      </c>
      <c r="G61" s="26" t="n">
        <v>1428.64</v>
      </c>
      <c r="H61" s="25" t="n">
        <v>549</v>
      </c>
      <c r="I61" s="26" t="n">
        <v>3588.42</v>
      </c>
      <c r="J61" s="25" t="n">
        <v>31</v>
      </c>
    </row>
    <row r="62" customFormat="false" ht="15" hidden="false" customHeight="false" outlineLevel="0" collapsed="false">
      <c r="A62" s="25" t="n">
        <v>5</v>
      </c>
      <c r="B62" s="25" t="s">
        <v>64</v>
      </c>
      <c r="C62" s="25" t="s">
        <v>18</v>
      </c>
      <c r="D62" s="25" t="s">
        <v>45</v>
      </c>
      <c r="E62" s="25" t="n">
        <v>279</v>
      </c>
      <c r="F62" s="26" t="n">
        <v>287077.89</v>
      </c>
      <c r="G62" s="26" t="n">
        <v>17265.4</v>
      </c>
      <c r="H62" s="25" t="n">
        <v>401</v>
      </c>
      <c r="I62" s="26" t="n">
        <v>34104.85</v>
      </c>
      <c r="J62" s="25" t="n">
        <v>0</v>
      </c>
    </row>
    <row r="63" customFormat="false" ht="15" hidden="false" customHeight="false" outlineLevel="0" collapsed="false">
      <c r="A63" s="25" t="n">
        <v>5</v>
      </c>
      <c r="B63" s="25" t="s">
        <v>64</v>
      </c>
      <c r="C63" s="25" t="s">
        <v>18</v>
      </c>
      <c r="D63" s="25" t="s">
        <v>51</v>
      </c>
      <c r="E63" s="25" t="n">
        <v>279</v>
      </c>
      <c r="F63" s="26" t="n">
        <v>7384.81</v>
      </c>
      <c r="G63" s="26" t="n">
        <v>783.26</v>
      </c>
      <c r="H63" s="25" t="n">
        <v>848</v>
      </c>
      <c r="I63" s="26" t="n">
        <v>1116.58</v>
      </c>
      <c r="J63" s="25" t="n">
        <v>31</v>
      </c>
    </row>
    <row r="64" customFormat="false" ht="15" hidden="false" customHeight="false" outlineLevel="0" collapsed="false">
      <c r="A64" s="25" t="n">
        <v>5</v>
      </c>
      <c r="B64" s="25" t="s">
        <v>64</v>
      </c>
      <c r="C64" s="25" t="s">
        <v>15</v>
      </c>
      <c r="D64" s="25" t="s">
        <v>39</v>
      </c>
      <c r="E64" s="25" t="n">
        <v>248</v>
      </c>
      <c r="F64" s="26" t="n">
        <v>37168.15</v>
      </c>
      <c r="G64" s="26" t="n">
        <v>2785.45</v>
      </c>
      <c r="H64" s="25" t="n">
        <v>308</v>
      </c>
      <c r="I64" s="26" t="n">
        <v>7225.49</v>
      </c>
      <c r="J64" s="25" t="n">
        <v>31</v>
      </c>
    </row>
    <row r="65" customFormat="false" ht="15" hidden="false" customHeight="false" outlineLevel="0" collapsed="false">
      <c r="A65" s="25" t="n">
        <v>5</v>
      </c>
      <c r="B65" s="25" t="s">
        <v>64</v>
      </c>
      <c r="C65" s="25" t="s">
        <v>15</v>
      </c>
      <c r="D65" s="25" t="s">
        <v>45</v>
      </c>
      <c r="E65" s="25" t="n">
        <v>93</v>
      </c>
      <c r="F65" s="26" t="n">
        <v>73079.5</v>
      </c>
      <c r="G65" s="26" t="n">
        <v>4042</v>
      </c>
      <c r="H65" s="25" t="n">
        <v>92</v>
      </c>
      <c r="I65" s="26" t="n">
        <v>8681.84</v>
      </c>
      <c r="J65" s="25" t="n">
        <v>0</v>
      </c>
    </row>
    <row r="66" customFormat="false" ht="15" hidden="false" customHeight="false" outlineLevel="0" collapsed="false">
      <c r="A66" s="25" t="n">
        <v>5</v>
      </c>
      <c r="B66" s="25" t="s">
        <v>64</v>
      </c>
      <c r="C66" s="25" t="s">
        <v>15</v>
      </c>
      <c r="D66" s="25" t="s">
        <v>51</v>
      </c>
      <c r="E66" s="25" t="n">
        <v>403</v>
      </c>
      <c r="F66" s="26" t="n">
        <v>9104.28</v>
      </c>
      <c r="G66" s="26" t="n">
        <v>1004.16</v>
      </c>
      <c r="H66" s="25" t="n">
        <v>913</v>
      </c>
      <c r="I66" s="26" t="n">
        <v>1376.57</v>
      </c>
      <c r="J66" s="25" t="n">
        <v>31</v>
      </c>
    </row>
    <row r="67" customFormat="false" ht="15" hidden="false" customHeight="false" outlineLevel="0" collapsed="false">
      <c r="A67" s="25" t="n">
        <v>5</v>
      </c>
      <c r="B67" s="25" t="s">
        <v>64</v>
      </c>
      <c r="C67" s="25" t="s">
        <v>19</v>
      </c>
      <c r="D67" s="25" t="s">
        <v>39</v>
      </c>
      <c r="E67" s="25" t="n">
        <v>124</v>
      </c>
      <c r="F67" s="26" t="n">
        <v>17282.3</v>
      </c>
      <c r="G67" s="26" t="n">
        <v>1287</v>
      </c>
      <c r="H67" s="25" t="n">
        <v>685</v>
      </c>
      <c r="I67" s="26" t="n">
        <v>3359.68</v>
      </c>
      <c r="J67" s="25" t="n">
        <v>31</v>
      </c>
    </row>
    <row r="68" customFormat="false" ht="15" hidden="false" customHeight="false" outlineLevel="0" collapsed="false">
      <c r="A68" s="25" t="n">
        <v>5</v>
      </c>
      <c r="B68" s="25" t="s">
        <v>64</v>
      </c>
      <c r="C68" s="25" t="s">
        <v>19</v>
      </c>
      <c r="D68" s="25" t="s">
        <v>51</v>
      </c>
      <c r="E68" s="25" t="n">
        <v>620</v>
      </c>
      <c r="F68" s="26" t="n">
        <v>13281.84</v>
      </c>
      <c r="G68" s="26" t="n">
        <v>1482.34</v>
      </c>
      <c r="H68" s="25" t="n">
        <v>4205</v>
      </c>
      <c r="I68" s="26" t="n">
        <v>2008.21</v>
      </c>
      <c r="J68" s="25" t="n">
        <v>155</v>
      </c>
    </row>
    <row r="69" customFormat="false" ht="15" hidden="false" customHeight="false" outlineLevel="0" collapsed="false">
      <c r="A69" s="25" t="n">
        <v>5</v>
      </c>
      <c r="B69" s="25" t="s">
        <v>64</v>
      </c>
      <c r="C69" s="25" t="s">
        <v>16</v>
      </c>
      <c r="D69" s="25" t="s">
        <v>39</v>
      </c>
      <c r="E69" s="25" t="n">
        <v>155</v>
      </c>
      <c r="F69" s="26" t="n">
        <v>30503.47</v>
      </c>
      <c r="G69" s="26" t="n">
        <v>2254.24</v>
      </c>
      <c r="H69" s="25" t="n">
        <v>554</v>
      </c>
      <c r="I69" s="26" t="n">
        <v>5929.87</v>
      </c>
      <c r="J69" s="25" t="n">
        <v>0</v>
      </c>
    </row>
    <row r="70" customFormat="false" ht="15" hidden="false" customHeight="false" outlineLevel="0" collapsed="false">
      <c r="A70" s="25" t="n">
        <v>5</v>
      </c>
      <c r="B70" s="25" t="s">
        <v>64</v>
      </c>
      <c r="C70" s="25" t="s">
        <v>16</v>
      </c>
      <c r="D70" s="25" t="s">
        <v>45</v>
      </c>
      <c r="E70" s="25" t="n">
        <v>93</v>
      </c>
      <c r="F70" s="26" t="n">
        <v>57621.31</v>
      </c>
      <c r="G70" s="26" t="n">
        <v>3379.42</v>
      </c>
      <c r="H70" s="25" t="n">
        <v>600</v>
      </c>
      <c r="I70" s="26" t="n">
        <v>6845.41</v>
      </c>
      <c r="J70" s="25" t="n">
        <v>31</v>
      </c>
    </row>
    <row r="71" customFormat="false" ht="15" hidden="false" customHeight="false" outlineLevel="0" collapsed="false">
      <c r="A71" s="25" t="n">
        <v>5</v>
      </c>
      <c r="B71" s="25" t="s">
        <v>64</v>
      </c>
      <c r="C71" s="25" t="s">
        <v>16</v>
      </c>
      <c r="D71" s="25" t="s">
        <v>51</v>
      </c>
      <c r="E71" s="25" t="n">
        <v>434</v>
      </c>
      <c r="F71" s="26" t="n">
        <v>10144.69</v>
      </c>
      <c r="G71" s="26" t="n">
        <v>1080.96</v>
      </c>
      <c r="H71" s="25" t="n">
        <v>1515</v>
      </c>
      <c r="I71" s="26" t="n">
        <v>1533.88</v>
      </c>
      <c r="J71" s="25" t="n">
        <v>0</v>
      </c>
    </row>
    <row r="72" customFormat="false" ht="15" hidden="false" customHeight="false" outlineLevel="0" collapsed="false">
      <c r="A72" s="25" t="n">
        <v>6</v>
      </c>
      <c r="B72" s="25" t="s">
        <v>65</v>
      </c>
      <c r="C72" s="25" t="s">
        <v>17</v>
      </c>
      <c r="D72" s="25" t="s">
        <v>39</v>
      </c>
      <c r="E72" s="25" t="n">
        <v>480</v>
      </c>
      <c r="F72" s="26" t="n">
        <v>82232.47</v>
      </c>
      <c r="G72" s="26" t="n">
        <v>6294.28</v>
      </c>
      <c r="H72" s="25" t="n">
        <v>514</v>
      </c>
      <c r="I72" s="26" t="n">
        <v>15985.99</v>
      </c>
      <c r="J72" s="25" t="n">
        <v>30</v>
      </c>
    </row>
    <row r="73" customFormat="false" ht="15" hidden="false" customHeight="false" outlineLevel="0" collapsed="false">
      <c r="A73" s="25" t="n">
        <v>6</v>
      </c>
      <c r="B73" s="25" t="s">
        <v>65</v>
      </c>
      <c r="C73" s="25" t="s">
        <v>17</v>
      </c>
      <c r="D73" s="25" t="s">
        <v>45</v>
      </c>
      <c r="E73" s="25" t="n">
        <v>90</v>
      </c>
      <c r="F73" s="26" t="n">
        <v>82984.36</v>
      </c>
      <c r="G73" s="26" t="n">
        <v>5020.56</v>
      </c>
      <c r="H73" s="25" t="n">
        <v>5</v>
      </c>
      <c r="I73" s="26" t="n">
        <v>9858.54</v>
      </c>
      <c r="J73" s="25" t="n">
        <v>0</v>
      </c>
    </row>
    <row r="74" customFormat="false" ht="15" hidden="false" customHeight="false" outlineLevel="0" collapsed="false">
      <c r="A74" s="25" t="n">
        <v>6</v>
      </c>
      <c r="B74" s="25" t="s">
        <v>65</v>
      </c>
      <c r="C74" s="25" t="s">
        <v>17</v>
      </c>
      <c r="D74" s="25" t="s">
        <v>51</v>
      </c>
      <c r="E74" s="25" t="n">
        <v>270</v>
      </c>
      <c r="F74" s="26" t="n">
        <v>6687.49</v>
      </c>
      <c r="G74" s="26" t="n">
        <v>758.11</v>
      </c>
      <c r="H74" s="25" t="n">
        <v>402</v>
      </c>
      <c r="I74" s="26" t="n">
        <v>1011.15</v>
      </c>
      <c r="J74" s="25" t="n">
        <v>0</v>
      </c>
    </row>
    <row r="75" customFormat="false" ht="15" hidden="false" customHeight="false" outlineLevel="0" collapsed="false">
      <c r="A75" s="25" t="n">
        <v>6</v>
      </c>
      <c r="B75" s="25" t="s">
        <v>65</v>
      </c>
      <c r="C75" s="25" t="s">
        <v>18</v>
      </c>
      <c r="D75" s="25" t="s">
        <v>39</v>
      </c>
      <c r="E75" s="25" t="n">
        <v>120</v>
      </c>
      <c r="F75" s="26" t="n">
        <v>18104.01</v>
      </c>
      <c r="G75" s="26" t="n">
        <v>1399.98</v>
      </c>
      <c r="H75" s="25" t="n">
        <v>71</v>
      </c>
      <c r="I75" s="26" t="n">
        <v>3519.42</v>
      </c>
      <c r="J75" s="25" t="n">
        <v>30</v>
      </c>
    </row>
    <row r="76" customFormat="false" ht="15" hidden="false" customHeight="false" outlineLevel="0" collapsed="false">
      <c r="A76" s="25" t="n">
        <v>6</v>
      </c>
      <c r="B76" s="25" t="s">
        <v>65</v>
      </c>
      <c r="C76" s="25" t="s">
        <v>18</v>
      </c>
      <c r="D76" s="25" t="s">
        <v>45</v>
      </c>
      <c r="E76" s="25" t="n">
        <v>270</v>
      </c>
      <c r="F76" s="26" t="n">
        <v>289006.41</v>
      </c>
      <c r="G76" s="26" t="n">
        <v>17348.58</v>
      </c>
      <c r="H76" s="25" t="n">
        <v>372</v>
      </c>
      <c r="I76" s="26" t="n">
        <v>34333.96</v>
      </c>
      <c r="J76" s="25" t="n">
        <v>0</v>
      </c>
    </row>
    <row r="77" customFormat="false" ht="15" hidden="false" customHeight="false" outlineLevel="0" collapsed="false">
      <c r="A77" s="25" t="n">
        <v>6</v>
      </c>
      <c r="B77" s="25" t="s">
        <v>65</v>
      </c>
      <c r="C77" s="25" t="s">
        <v>18</v>
      </c>
      <c r="D77" s="25" t="s">
        <v>51</v>
      </c>
      <c r="E77" s="25" t="n">
        <v>270</v>
      </c>
      <c r="F77" s="26" t="n">
        <v>7318.77</v>
      </c>
      <c r="G77" s="26" t="n">
        <v>773.33</v>
      </c>
      <c r="H77" s="25" t="n">
        <v>973</v>
      </c>
      <c r="I77" s="26" t="n">
        <v>1106.6</v>
      </c>
      <c r="J77" s="25" t="n">
        <v>30</v>
      </c>
    </row>
    <row r="78" customFormat="false" ht="15" hidden="false" customHeight="false" outlineLevel="0" collapsed="false">
      <c r="A78" s="25" t="n">
        <v>6</v>
      </c>
      <c r="B78" s="25" t="s">
        <v>65</v>
      </c>
      <c r="C78" s="25" t="s">
        <v>15</v>
      </c>
      <c r="D78" s="25" t="s">
        <v>39</v>
      </c>
      <c r="E78" s="25" t="n">
        <v>240</v>
      </c>
      <c r="F78" s="26" t="n">
        <v>37367.24</v>
      </c>
      <c r="G78" s="26" t="n">
        <v>2801.64</v>
      </c>
      <c r="H78" s="25" t="n">
        <v>522</v>
      </c>
      <c r="I78" s="26" t="n">
        <v>7264.19</v>
      </c>
      <c r="J78" s="25" t="n">
        <v>30</v>
      </c>
    </row>
    <row r="79" customFormat="false" ht="15" hidden="false" customHeight="false" outlineLevel="0" collapsed="false">
      <c r="A79" s="25" t="n">
        <v>6</v>
      </c>
      <c r="B79" s="25" t="s">
        <v>65</v>
      </c>
      <c r="C79" s="25" t="s">
        <v>15</v>
      </c>
      <c r="D79" s="25" t="s">
        <v>45</v>
      </c>
      <c r="E79" s="25" t="n">
        <v>90</v>
      </c>
      <c r="F79" s="26" t="n">
        <v>71656.26</v>
      </c>
      <c r="G79" s="26" t="n">
        <v>4028.11</v>
      </c>
      <c r="H79" s="25" t="n">
        <v>163</v>
      </c>
      <c r="I79" s="26" t="n">
        <v>8512.76</v>
      </c>
      <c r="J79" s="25" t="n">
        <v>0</v>
      </c>
    </row>
    <row r="80" customFormat="false" ht="15" hidden="false" customHeight="false" outlineLevel="0" collapsed="false">
      <c r="A80" s="25" t="n">
        <v>6</v>
      </c>
      <c r="B80" s="25" t="s">
        <v>65</v>
      </c>
      <c r="C80" s="25" t="s">
        <v>15</v>
      </c>
      <c r="D80" s="25" t="s">
        <v>51</v>
      </c>
      <c r="E80" s="25" t="n">
        <v>390</v>
      </c>
      <c r="F80" s="26" t="n">
        <v>9136.44</v>
      </c>
      <c r="G80" s="26" t="n">
        <v>1008.58</v>
      </c>
      <c r="H80" s="25" t="n">
        <v>763</v>
      </c>
      <c r="I80" s="26" t="n">
        <v>1381.43</v>
      </c>
      <c r="J80" s="25" t="n">
        <v>30</v>
      </c>
    </row>
    <row r="81" customFormat="false" ht="15" hidden="false" customHeight="false" outlineLevel="0" collapsed="false">
      <c r="A81" s="25" t="n">
        <v>6</v>
      </c>
      <c r="B81" s="25" t="s">
        <v>65</v>
      </c>
      <c r="C81" s="25" t="s">
        <v>19</v>
      </c>
      <c r="D81" s="25" t="s">
        <v>39</v>
      </c>
      <c r="E81" s="25" t="n">
        <v>120</v>
      </c>
      <c r="F81" s="26" t="n">
        <v>17233.93</v>
      </c>
      <c r="G81" s="26" t="n">
        <v>1288.78</v>
      </c>
      <c r="H81" s="25" t="n">
        <v>1070</v>
      </c>
      <c r="I81" s="26" t="n">
        <v>3350.28</v>
      </c>
      <c r="J81" s="25" t="n">
        <v>30</v>
      </c>
    </row>
    <row r="82" customFormat="false" ht="15" hidden="false" customHeight="false" outlineLevel="0" collapsed="false">
      <c r="A82" s="25" t="n">
        <v>6</v>
      </c>
      <c r="B82" s="25" t="s">
        <v>65</v>
      </c>
      <c r="C82" s="25" t="s">
        <v>19</v>
      </c>
      <c r="D82" s="25" t="s">
        <v>51</v>
      </c>
      <c r="E82" s="25" t="n">
        <v>600</v>
      </c>
      <c r="F82" s="26" t="n">
        <v>13429.22</v>
      </c>
      <c r="G82" s="26" t="n">
        <v>1495.53</v>
      </c>
      <c r="H82" s="25" t="n">
        <v>4457</v>
      </c>
      <c r="I82" s="26" t="n">
        <v>2030.5</v>
      </c>
      <c r="J82" s="25" t="n">
        <v>150</v>
      </c>
    </row>
    <row r="83" customFormat="false" ht="15" hidden="false" customHeight="false" outlineLevel="0" collapsed="false">
      <c r="A83" s="25" t="n">
        <v>6</v>
      </c>
      <c r="B83" s="25" t="s">
        <v>65</v>
      </c>
      <c r="C83" s="25" t="s">
        <v>16</v>
      </c>
      <c r="D83" s="25" t="s">
        <v>39</v>
      </c>
      <c r="E83" s="25" t="n">
        <v>150</v>
      </c>
      <c r="F83" s="26" t="n">
        <v>30186.47</v>
      </c>
      <c r="G83" s="26" t="n">
        <v>2234.52</v>
      </c>
      <c r="H83" s="25" t="n">
        <v>239</v>
      </c>
      <c r="I83" s="26" t="n">
        <v>5868.25</v>
      </c>
      <c r="J83" s="25" t="n">
        <v>0</v>
      </c>
    </row>
    <row r="84" customFormat="false" ht="15" hidden="false" customHeight="false" outlineLevel="0" collapsed="false">
      <c r="A84" s="25" t="n">
        <v>6</v>
      </c>
      <c r="B84" s="25" t="s">
        <v>65</v>
      </c>
      <c r="C84" s="25" t="s">
        <v>16</v>
      </c>
      <c r="D84" s="25" t="s">
        <v>45</v>
      </c>
      <c r="E84" s="25" t="n">
        <v>90</v>
      </c>
      <c r="F84" s="26" t="n">
        <v>57127.36</v>
      </c>
      <c r="G84" s="26" t="n">
        <v>3358.7</v>
      </c>
      <c r="H84" s="25" t="n">
        <v>234</v>
      </c>
      <c r="I84" s="26" t="n">
        <v>6786.73</v>
      </c>
      <c r="J84" s="25" t="n">
        <v>30</v>
      </c>
    </row>
    <row r="85" customFormat="false" ht="15" hidden="false" customHeight="false" outlineLevel="0" collapsed="false">
      <c r="A85" s="25" t="n">
        <v>6</v>
      </c>
      <c r="B85" s="25" t="s">
        <v>65</v>
      </c>
      <c r="C85" s="25" t="s">
        <v>16</v>
      </c>
      <c r="D85" s="25" t="s">
        <v>51</v>
      </c>
      <c r="E85" s="25" t="n">
        <v>420</v>
      </c>
      <c r="F85" s="26" t="n">
        <v>10379.82</v>
      </c>
      <c r="G85" s="26" t="n">
        <v>1106.38</v>
      </c>
      <c r="H85" s="25" t="n">
        <v>724</v>
      </c>
      <c r="I85" s="26" t="n">
        <v>1569.43</v>
      </c>
      <c r="J85" s="25" t="n">
        <v>0</v>
      </c>
    </row>
    <row r="86" customFormat="false" ht="15" hidden="false" customHeight="false" outlineLevel="0" collapsed="false">
      <c r="A86" s="25" t="n">
        <v>7</v>
      </c>
      <c r="B86" s="25" t="s">
        <v>66</v>
      </c>
      <c r="C86" s="25" t="s">
        <v>17</v>
      </c>
      <c r="D86" s="25" t="s">
        <v>39</v>
      </c>
      <c r="E86" s="25" t="n">
        <v>496</v>
      </c>
      <c r="F86" s="26" t="n">
        <v>82031.72</v>
      </c>
      <c r="G86" s="26" t="n">
        <v>6276.35</v>
      </c>
      <c r="H86" s="25" t="n">
        <v>698</v>
      </c>
      <c r="I86" s="26" t="n">
        <v>14765.71</v>
      </c>
      <c r="J86" s="25" t="n">
        <v>22</v>
      </c>
    </row>
    <row r="87" customFormat="false" ht="15" hidden="false" customHeight="false" outlineLevel="0" collapsed="false">
      <c r="A87" s="25" t="n">
        <v>7</v>
      </c>
      <c r="B87" s="25" t="s">
        <v>66</v>
      </c>
      <c r="C87" s="25" t="s">
        <v>17</v>
      </c>
      <c r="D87" s="25" t="s">
        <v>45</v>
      </c>
      <c r="E87" s="25" t="n">
        <v>93</v>
      </c>
      <c r="F87" s="26" t="n">
        <v>81469.02</v>
      </c>
      <c r="G87" s="26" t="n">
        <v>4926.49</v>
      </c>
      <c r="H87" s="25" t="n">
        <v>431</v>
      </c>
      <c r="I87" s="26" t="n">
        <v>8961.59</v>
      </c>
      <c r="J87" s="25" t="n">
        <v>0</v>
      </c>
    </row>
    <row r="88" customFormat="false" ht="15" hidden="false" customHeight="false" outlineLevel="0" collapsed="false">
      <c r="A88" s="25" t="n">
        <v>7</v>
      </c>
      <c r="B88" s="25" t="s">
        <v>66</v>
      </c>
      <c r="C88" s="25" t="s">
        <v>17</v>
      </c>
      <c r="D88" s="25" t="s">
        <v>51</v>
      </c>
      <c r="E88" s="25" t="n">
        <v>279</v>
      </c>
      <c r="F88" s="26" t="n">
        <v>6849.76</v>
      </c>
      <c r="G88" s="26" t="n">
        <v>775.88</v>
      </c>
      <c r="H88" s="25" t="n">
        <v>618</v>
      </c>
      <c r="I88" s="26" t="n">
        <v>958.97</v>
      </c>
      <c r="J88" s="25" t="n">
        <v>0</v>
      </c>
    </row>
    <row r="89" customFormat="false" ht="15" hidden="false" customHeight="false" outlineLevel="0" collapsed="false">
      <c r="A89" s="25" t="n">
        <v>7</v>
      </c>
      <c r="B89" s="25" t="s">
        <v>66</v>
      </c>
      <c r="C89" s="25" t="s">
        <v>18</v>
      </c>
      <c r="D89" s="25" t="s">
        <v>39</v>
      </c>
      <c r="E89" s="25" t="n">
        <v>124</v>
      </c>
      <c r="F89" s="26" t="n">
        <v>18303.24</v>
      </c>
      <c r="G89" s="26" t="n">
        <v>1405.34</v>
      </c>
      <c r="H89" s="25" t="n">
        <v>817</v>
      </c>
      <c r="I89" s="26" t="n">
        <v>3294.58</v>
      </c>
      <c r="J89" s="25" t="n">
        <v>31</v>
      </c>
    </row>
    <row r="90" customFormat="false" ht="15" hidden="false" customHeight="false" outlineLevel="0" collapsed="false">
      <c r="A90" s="25" t="n">
        <v>7</v>
      </c>
      <c r="B90" s="25" t="s">
        <v>66</v>
      </c>
      <c r="C90" s="25" t="s">
        <v>18</v>
      </c>
      <c r="D90" s="25" t="s">
        <v>45</v>
      </c>
      <c r="E90" s="25" t="n">
        <v>279</v>
      </c>
      <c r="F90" s="26" t="n">
        <v>283777.84</v>
      </c>
      <c r="G90" s="26" t="n">
        <v>17096.12</v>
      </c>
      <c r="H90" s="25" t="n">
        <v>646</v>
      </c>
      <c r="I90" s="26" t="n">
        <v>31215.56</v>
      </c>
      <c r="J90" s="25" t="n">
        <v>0</v>
      </c>
    </row>
    <row r="91" customFormat="false" ht="15" hidden="false" customHeight="false" outlineLevel="0" collapsed="false">
      <c r="A91" s="25" t="n">
        <v>7</v>
      </c>
      <c r="B91" s="25" t="s">
        <v>66</v>
      </c>
      <c r="C91" s="25" t="s">
        <v>18</v>
      </c>
      <c r="D91" s="25" t="s">
        <v>51</v>
      </c>
      <c r="E91" s="25" t="n">
        <v>279</v>
      </c>
      <c r="F91" s="26" t="n">
        <v>7557.03</v>
      </c>
      <c r="G91" s="26" t="n">
        <v>801.26</v>
      </c>
      <c r="H91" s="25" t="n">
        <v>587</v>
      </c>
      <c r="I91" s="26" t="n">
        <v>1057.98</v>
      </c>
      <c r="J91" s="25" t="n">
        <v>31</v>
      </c>
    </row>
    <row r="92" customFormat="false" ht="15" hidden="false" customHeight="false" outlineLevel="0" collapsed="false">
      <c r="A92" s="25" t="n">
        <v>7</v>
      </c>
      <c r="B92" s="25" t="s">
        <v>66</v>
      </c>
      <c r="C92" s="25" t="s">
        <v>15</v>
      </c>
      <c r="D92" s="25" t="s">
        <v>39</v>
      </c>
      <c r="E92" s="25" t="n">
        <v>248</v>
      </c>
      <c r="F92" s="26" t="n">
        <v>37465.47</v>
      </c>
      <c r="G92" s="26" t="n">
        <v>2798.75</v>
      </c>
      <c r="H92" s="25" t="n">
        <v>539</v>
      </c>
      <c r="I92" s="26" t="n">
        <v>6743.78</v>
      </c>
      <c r="J92" s="25" t="n">
        <v>31</v>
      </c>
    </row>
    <row r="93" customFormat="false" ht="15" hidden="false" customHeight="false" outlineLevel="0" collapsed="false">
      <c r="A93" s="25" t="n">
        <v>7</v>
      </c>
      <c r="B93" s="25" t="s">
        <v>66</v>
      </c>
      <c r="C93" s="25" t="s">
        <v>15</v>
      </c>
      <c r="D93" s="25" t="s">
        <v>45</v>
      </c>
      <c r="E93" s="25" t="n">
        <v>93</v>
      </c>
      <c r="F93" s="26" t="n">
        <v>72525.94</v>
      </c>
      <c r="G93" s="26" t="n">
        <v>4070.44</v>
      </c>
      <c r="H93" s="25" t="n">
        <v>132</v>
      </c>
      <c r="I93" s="26" t="n">
        <v>7977.85</v>
      </c>
      <c r="J93" s="25" t="n">
        <v>0</v>
      </c>
    </row>
    <row r="94" customFormat="false" ht="15" hidden="false" customHeight="false" outlineLevel="0" collapsed="false">
      <c r="A94" s="25" t="n">
        <v>7</v>
      </c>
      <c r="B94" s="25" t="s">
        <v>66</v>
      </c>
      <c r="C94" s="25" t="s">
        <v>15</v>
      </c>
      <c r="D94" s="25" t="s">
        <v>51</v>
      </c>
      <c r="E94" s="25" t="n">
        <v>403</v>
      </c>
      <c r="F94" s="26" t="n">
        <v>9414.57</v>
      </c>
      <c r="G94" s="26" t="n">
        <v>1040.63</v>
      </c>
      <c r="H94" s="25" t="n">
        <v>1112</v>
      </c>
      <c r="I94" s="26" t="n">
        <v>1318.04</v>
      </c>
      <c r="J94" s="25" t="n">
        <v>31</v>
      </c>
    </row>
    <row r="95" customFormat="false" ht="15" hidden="false" customHeight="false" outlineLevel="0" collapsed="false">
      <c r="A95" s="25" t="n">
        <v>7</v>
      </c>
      <c r="B95" s="25" t="s">
        <v>66</v>
      </c>
      <c r="C95" s="25" t="s">
        <v>19</v>
      </c>
      <c r="D95" s="25" t="s">
        <v>39</v>
      </c>
      <c r="E95" s="25" t="n">
        <v>124</v>
      </c>
      <c r="F95" s="26" t="n">
        <v>17263.48</v>
      </c>
      <c r="G95" s="26" t="n">
        <v>1283.31</v>
      </c>
      <c r="H95" s="25" t="n">
        <v>561</v>
      </c>
      <c r="I95" s="26" t="n">
        <v>3107.43</v>
      </c>
      <c r="J95" s="25" t="n">
        <v>31</v>
      </c>
    </row>
    <row r="96" customFormat="false" ht="15" hidden="false" customHeight="false" outlineLevel="0" collapsed="false">
      <c r="A96" s="25" t="n">
        <v>7</v>
      </c>
      <c r="B96" s="25" t="s">
        <v>66</v>
      </c>
      <c r="C96" s="25" t="s">
        <v>19</v>
      </c>
      <c r="D96" s="25" t="s">
        <v>51</v>
      </c>
      <c r="E96" s="25" t="n">
        <v>620</v>
      </c>
      <c r="F96" s="26" t="n">
        <v>13750.68</v>
      </c>
      <c r="G96" s="26" t="n">
        <v>1536.1</v>
      </c>
      <c r="H96" s="25" t="n">
        <v>2079</v>
      </c>
      <c r="I96" s="26" t="n">
        <v>1925.1</v>
      </c>
      <c r="J96" s="25" t="n">
        <v>155</v>
      </c>
    </row>
    <row r="97" customFormat="false" ht="15" hidden="false" customHeight="false" outlineLevel="0" collapsed="false">
      <c r="A97" s="25" t="n">
        <v>7</v>
      </c>
      <c r="B97" s="25" t="s">
        <v>66</v>
      </c>
      <c r="C97" s="25" t="s">
        <v>16</v>
      </c>
      <c r="D97" s="25" t="s">
        <v>39</v>
      </c>
      <c r="E97" s="25" t="n">
        <v>155</v>
      </c>
      <c r="F97" s="26" t="n">
        <v>29290.88</v>
      </c>
      <c r="G97" s="26" t="n">
        <v>2160.05</v>
      </c>
      <c r="H97" s="25" t="n">
        <v>409</v>
      </c>
      <c r="I97" s="26" t="n">
        <v>5272.36</v>
      </c>
      <c r="J97" s="25" t="n">
        <v>0</v>
      </c>
    </row>
    <row r="98" customFormat="false" ht="15" hidden="false" customHeight="false" outlineLevel="0" collapsed="false">
      <c r="A98" s="25" t="n">
        <v>7</v>
      </c>
      <c r="B98" s="25" t="s">
        <v>66</v>
      </c>
      <c r="C98" s="25" t="s">
        <v>16</v>
      </c>
      <c r="D98" s="25" t="s">
        <v>45</v>
      </c>
      <c r="E98" s="25" t="n">
        <v>93</v>
      </c>
      <c r="F98" s="26" t="n">
        <v>56816.98</v>
      </c>
      <c r="G98" s="26" t="n">
        <v>3338.67</v>
      </c>
      <c r="H98" s="25" t="n">
        <v>368</v>
      </c>
      <c r="I98" s="26" t="n">
        <v>6249.87</v>
      </c>
      <c r="J98" s="25" t="n">
        <v>31</v>
      </c>
    </row>
    <row r="99" customFormat="false" ht="15" hidden="false" customHeight="false" outlineLevel="0" collapsed="false">
      <c r="A99" s="25" t="n">
        <v>7</v>
      </c>
      <c r="B99" s="25" t="s">
        <v>66</v>
      </c>
      <c r="C99" s="25" t="s">
        <v>16</v>
      </c>
      <c r="D99" s="25" t="s">
        <v>51</v>
      </c>
      <c r="E99" s="25" t="n">
        <v>434</v>
      </c>
      <c r="F99" s="26" t="n">
        <v>10498.63</v>
      </c>
      <c r="G99" s="26" t="n">
        <v>1119.15</v>
      </c>
      <c r="H99" s="25" t="n">
        <v>692</v>
      </c>
      <c r="I99" s="26" t="n">
        <v>1469.81</v>
      </c>
      <c r="J99" s="25" t="n">
        <v>0</v>
      </c>
    </row>
    <row r="100" customFormat="false" ht="15" hidden="false" customHeight="false" outlineLevel="0" collapsed="false">
      <c r="A100" s="25" t="n">
        <v>8</v>
      </c>
      <c r="B100" s="25" t="s">
        <v>67</v>
      </c>
      <c r="C100" s="25" t="s">
        <v>17</v>
      </c>
      <c r="D100" s="25" t="s">
        <v>39</v>
      </c>
      <c r="E100" s="25" t="n">
        <v>496</v>
      </c>
      <c r="F100" s="26" t="n">
        <v>79398.43</v>
      </c>
      <c r="G100" s="26" t="n">
        <v>6077.61</v>
      </c>
      <c r="H100" s="25" t="n">
        <v>1134</v>
      </c>
      <c r="I100" s="26" t="n">
        <v>14291.72</v>
      </c>
      <c r="J100" s="25" t="n">
        <v>0</v>
      </c>
    </row>
    <row r="101" customFormat="false" ht="15" hidden="false" customHeight="false" outlineLevel="0" collapsed="false">
      <c r="A101" s="25" t="n">
        <v>8</v>
      </c>
      <c r="B101" s="25" t="s">
        <v>67</v>
      </c>
      <c r="C101" s="25" t="s">
        <v>17</v>
      </c>
      <c r="D101" s="25" t="s">
        <v>45</v>
      </c>
      <c r="E101" s="25" t="n">
        <v>93</v>
      </c>
      <c r="F101" s="26" t="n">
        <v>79434.6</v>
      </c>
      <c r="G101" s="26" t="n">
        <v>4789.45</v>
      </c>
      <c r="H101" s="25" t="n">
        <v>6</v>
      </c>
      <c r="I101" s="26" t="n">
        <v>8737.81</v>
      </c>
      <c r="J101" s="25" t="n">
        <v>0</v>
      </c>
    </row>
    <row r="102" customFormat="false" ht="15" hidden="false" customHeight="false" outlineLevel="0" collapsed="false">
      <c r="A102" s="25" t="n">
        <v>8</v>
      </c>
      <c r="B102" s="25" t="s">
        <v>67</v>
      </c>
      <c r="C102" s="25" t="s">
        <v>17</v>
      </c>
      <c r="D102" s="25" t="s">
        <v>51</v>
      </c>
      <c r="E102" s="25" t="n">
        <v>279</v>
      </c>
      <c r="F102" s="26" t="n">
        <v>6296.77</v>
      </c>
      <c r="G102" s="26" t="n">
        <v>712.69</v>
      </c>
      <c r="H102" s="25" t="n">
        <v>183</v>
      </c>
      <c r="I102" s="26" t="n">
        <v>881.55</v>
      </c>
      <c r="J102" s="25" t="n">
        <v>0</v>
      </c>
    </row>
    <row r="103" customFormat="false" ht="15" hidden="false" customHeight="false" outlineLevel="0" collapsed="false">
      <c r="A103" s="25" t="n">
        <v>8</v>
      </c>
      <c r="B103" s="25" t="s">
        <v>67</v>
      </c>
      <c r="C103" s="25" t="s">
        <v>18</v>
      </c>
      <c r="D103" s="25" t="s">
        <v>39</v>
      </c>
      <c r="E103" s="25" t="n">
        <v>124</v>
      </c>
      <c r="F103" s="26" t="n">
        <v>18023.49</v>
      </c>
      <c r="G103" s="26" t="n">
        <v>1386.34</v>
      </c>
      <c r="H103" s="25" t="n">
        <v>598</v>
      </c>
      <c r="I103" s="26" t="n">
        <v>3244.23</v>
      </c>
      <c r="J103" s="25" t="n">
        <v>31</v>
      </c>
    </row>
    <row r="104" customFormat="false" ht="15" hidden="false" customHeight="false" outlineLevel="0" collapsed="false">
      <c r="A104" s="25" t="n">
        <v>8</v>
      </c>
      <c r="B104" s="25" t="s">
        <v>67</v>
      </c>
      <c r="C104" s="25" t="s">
        <v>18</v>
      </c>
      <c r="D104" s="25" t="s">
        <v>45</v>
      </c>
      <c r="E104" s="25" t="n">
        <v>279</v>
      </c>
      <c r="F104" s="26" t="n">
        <v>270906.85</v>
      </c>
      <c r="G104" s="26" t="n">
        <v>16224.23</v>
      </c>
      <c r="H104" s="25" t="n">
        <v>603</v>
      </c>
      <c r="I104" s="26" t="n">
        <v>29799.75</v>
      </c>
      <c r="J104" s="25" t="n">
        <v>0</v>
      </c>
    </row>
    <row r="105" customFormat="false" ht="15" hidden="false" customHeight="false" outlineLevel="0" collapsed="false">
      <c r="A105" s="25" t="n">
        <v>8</v>
      </c>
      <c r="B105" s="25" t="s">
        <v>67</v>
      </c>
      <c r="C105" s="25" t="s">
        <v>18</v>
      </c>
      <c r="D105" s="25" t="s">
        <v>51</v>
      </c>
      <c r="E105" s="25" t="n">
        <v>279</v>
      </c>
      <c r="F105" s="26" t="n">
        <v>7064.13</v>
      </c>
      <c r="G105" s="26" t="n">
        <v>748.39</v>
      </c>
      <c r="H105" s="25" t="n">
        <v>877</v>
      </c>
      <c r="I105" s="26" t="n">
        <v>988.98</v>
      </c>
      <c r="J105" s="25" t="n">
        <v>31</v>
      </c>
    </row>
    <row r="106" customFormat="false" ht="15" hidden="false" customHeight="false" outlineLevel="0" collapsed="false">
      <c r="A106" s="25" t="n">
        <v>8</v>
      </c>
      <c r="B106" s="25" t="s">
        <v>67</v>
      </c>
      <c r="C106" s="25" t="s">
        <v>15</v>
      </c>
      <c r="D106" s="25" t="s">
        <v>39</v>
      </c>
      <c r="E106" s="25" t="n">
        <v>248</v>
      </c>
      <c r="F106" s="26" t="n">
        <v>35672.8</v>
      </c>
      <c r="G106" s="26" t="n">
        <v>2680.59</v>
      </c>
      <c r="H106" s="25" t="n">
        <v>224</v>
      </c>
      <c r="I106" s="26" t="n">
        <v>6421.1</v>
      </c>
      <c r="J106" s="25" t="n">
        <v>31</v>
      </c>
    </row>
    <row r="107" customFormat="false" ht="15" hidden="false" customHeight="false" outlineLevel="0" collapsed="false">
      <c r="A107" s="25" t="n">
        <v>8</v>
      </c>
      <c r="B107" s="25" t="s">
        <v>67</v>
      </c>
      <c r="C107" s="25" t="s">
        <v>15</v>
      </c>
      <c r="D107" s="25" t="s">
        <v>45</v>
      </c>
      <c r="E107" s="25" t="n">
        <v>93</v>
      </c>
      <c r="F107" s="26" t="n">
        <v>67731.42</v>
      </c>
      <c r="G107" s="26" t="n">
        <v>3787.55</v>
      </c>
      <c r="H107" s="25" t="n">
        <v>178</v>
      </c>
      <c r="I107" s="26" t="n">
        <v>7450.46</v>
      </c>
      <c r="J107" s="25" t="n">
        <v>0</v>
      </c>
    </row>
    <row r="108" customFormat="false" ht="15" hidden="false" customHeight="false" outlineLevel="0" collapsed="false">
      <c r="A108" s="25" t="n">
        <v>8</v>
      </c>
      <c r="B108" s="25" t="s">
        <v>67</v>
      </c>
      <c r="C108" s="25" t="s">
        <v>15</v>
      </c>
      <c r="D108" s="25" t="s">
        <v>51</v>
      </c>
      <c r="E108" s="25" t="n">
        <v>403</v>
      </c>
      <c r="F108" s="26" t="n">
        <v>8783.41</v>
      </c>
      <c r="G108" s="26" t="n">
        <v>968.32</v>
      </c>
      <c r="H108" s="25" t="n">
        <v>579</v>
      </c>
      <c r="I108" s="26" t="n">
        <v>1229.68</v>
      </c>
      <c r="J108" s="25" t="n">
        <v>31</v>
      </c>
    </row>
    <row r="109" customFormat="false" ht="15" hidden="false" customHeight="false" outlineLevel="0" collapsed="false">
      <c r="A109" s="25" t="n">
        <v>8</v>
      </c>
      <c r="B109" s="25" t="s">
        <v>67</v>
      </c>
      <c r="C109" s="25" t="s">
        <v>19</v>
      </c>
      <c r="D109" s="25" t="s">
        <v>39</v>
      </c>
      <c r="E109" s="25" t="n">
        <v>124</v>
      </c>
      <c r="F109" s="26" t="n">
        <v>16407.35</v>
      </c>
      <c r="G109" s="26" t="n">
        <v>1220.53</v>
      </c>
      <c r="H109" s="25" t="n">
        <v>1084</v>
      </c>
      <c r="I109" s="26" t="n">
        <v>2953.32</v>
      </c>
      <c r="J109" s="25" t="n">
        <v>31</v>
      </c>
    </row>
    <row r="110" customFormat="false" ht="15" hidden="false" customHeight="false" outlineLevel="0" collapsed="false">
      <c r="A110" s="25" t="n">
        <v>8</v>
      </c>
      <c r="B110" s="25" t="s">
        <v>67</v>
      </c>
      <c r="C110" s="25" t="s">
        <v>19</v>
      </c>
      <c r="D110" s="25" t="s">
        <v>51</v>
      </c>
      <c r="E110" s="25" t="n">
        <v>620</v>
      </c>
      <c r="F110" s="26" t="n">
        <v>12710</v>
      </c>
      <c r="G110" s="26" t="n">
        <v>1415.87</v>
      </c>
      <c r="H110" s="25" t="n">
        <v>3561</v>
      </c>
      <c r="I110" s="26" t="n">
        <v>1779.4</v>
      </c>
      <c r="J110" s="25" t="n">
        <v>155</v>
      </c>
    </row>
    <row r="111" customFormat="false" ht="15" hidden="false" customHeight="false" outlineLevel="0" collapsed="false">
      <c r="A111" s="25" t="n">
        <v>8</v>
      </c>
      <c r="B111" s="25" t="s">
        <v>67</v>
      </c>
      <c r="C111" s="25" t="s">
        <v>16</v>
      </c>
      <c r="D111" s="25" t="s">
        <v>39</v>
      </c>
      <c r="E111" s="25" t="n">
        <v>155</v>
      </c>
      <c r="F111" s="26" t="n">
        <v>28694</v>
      </c>
      <c r="G111" s="26" t="n">
        <v>2120.81</v>
      </c>
      <c r="H111" s="25" t="n">
        <v>453</v>
      </c>
      <c r="I111" s="26" t="n">
        <v>5164.92</v>
      </c>
      <c r="J111" s="25" t="n">
        <v>0</v>
      </c>
    </row>
    <row r="112" customFormat="false" ht="15" hidden="false" customHeight="false" outlineLevel="0" collapsed="false">
      <c r="A112" s="25" t="n">
        <v>8</v>
      </c>
      <c r="B112" s="25" t="s">
        <v>67</v>
      </c>
      <c r="C112" s="25" t="s">
        <v>16</v>
      </c>
      <c r="D112" s="25" t="s">
        <v>45</v>
      </c>
      <c r="E112" s="25" t="n">
        <v>93</v>
      </c>
      <c r="F112" s="26" t="n">
        <v>54731.84</v>
      </c>
      <c r="G112" s="26" t="n">
        <v>3210</v>
      </c>
      <c r="H112" s="25" t="n">
        <v>325</v>
      </c>
      <c r="I112" s="26" t="n">
        <v>6020.5</v>
      </c>
      <c r="J112" s="25" t="n">
        <v>31</v>
      </c>
    </row>
    <row r="113" customFormat="false" ht="15" hidden="false" customHeight="false" outlineLevel="0" collapsed="false">
      <c r="A113" s="25" t="n">
        <v>8</v>
      </c>
      <c r="B113" s="25" t="s">
        <v>67</v>
      </c>
      <c r="C113" s="25" t="s">
        <v>16</v>
      </c>
      <c r="D113" s="25" t="s">
        <v>51</v>
      </c>
      <c r="E113" s="25" t="n">
        <v>434</v>
      </c>
      <c r="F113" s="26" t="n">
        <v>9603.08</v>
      </c>
      <c r="G113" s="26" t="n">
        <v>1024.52</v>
      </c>
      <c r="H113" s="25" t="n">
        <v>2032</v>
      </c>
      <c r="I113" s="26" t="n">
        <v>1344.43</v>
      </c>
      <c r="J113" s="25" t="n">
        <v>0</v>
      </c>
    </row>
    <row r="114" customFormat="false" ht="15" hidden="false" customHeight="false" outlineLevel="0" collapsed="false">
      <c r="A114" s="25" t="n">
        <v>9</v>
      </c>
      <c r="B114" s="25" t="s">
        <v>68</v>
      </c>
      <c r="C114" s="25" t="s">
        <v>17</v>
      </c>
      <c r="D114" s="25" t="s">
        <v>39</v>
      </c>
      <c r="E114" s="25" t="n">
        <v>480</v>
      </c>
      <c r="F114" s="26" t="n">
        <v>66675.45</v>
      </c>
      <c r="G114" s="26" t="n">
        <v>5100.73</v>
      </c>
      <c r="H114" s="25" t="n">
        <v>1036</v>
      </c>
      <c r="I114" s="26" t="n">
        <v>12001.58</v>
      </c>
      <c r="J114" s="25" t="n">
        <v>0</v>
      </c>
    </row>
    <row r="115" customFormat="false" ht="15" hidden="false" customHeight="false" outlineLevel="0" collapsed="false">
      <c r="A115" s="25" t="n">
        <v>9</v>
      </c>
      <c r="B115" s="25" t="s">
        <v>68</v>
      </c>
      <c r="C115" s="25" t="s">
        <v>17</v>
      </c>
      <c r="D115" s="25" t="s">
        <v>45</v>
      </c>
      <c r="E115" s="25" t="n">
        <v>90</v>
      </c>
      <c r="F115" s="26" t="n">
        <v>67397.76</v>
      </c>
      <c r="G115" s="26" t="n">
        <v>4047.44</v>
      </c>
      <c r="H115" s="25" t="n">
        <v>87</v>
      </c>
      <c r="I115" s="26" t="n">
        <v>7413.75</v>
      </c>
      <c r="J115" s="25" t="n">
        <v>0</v>
      </c>
    </row>
    <row r="116" customFormat="false" ht="15" hidden="false" customHeight="false" outlineLevel="0" collapsed="false">
      <c r="A116" s="25" t="n">
        <v>9</v>
      </c>
      <c r="B116" s="25" t="s">
        <v>68</v>
      </c>
      <c r="C116" s="25" t="s">
        <v>17</v>
      </c>
      <c r="D116" s="25" t="s">
        <v>51</v>
      </c>
      <c r="E116" s="25" t="n">
        <v>270</v>
      </c>
      <c r="F116" s="26" t="n">
        <v>5551.69</v>
      </c>
      <c r="G116" s="26" t="n">
        <v>627.9</v>
      </c>
      <c r="H116" s="25" t="n">
        <v>454</v>
      </c>
      <c r="I116" s="26" t="n">
        <v>777.24</v>
      </c>
      <c r="J116" s="25" t="n">
        <v>0</v>
      </c>
    </row>
    <row r="117" customFormat="false" ht="15" hidden="false" customHeight="false" outlineLevel="0" collapsed="false">
      <c r="A117" s="25" t="n">
        <v>9</v>
      </c>
      <c r="B117" s="25" t="s">
        <v>68</v>
      </c>
      <c r="C117" s="25" t="s">
        <v>18</v>
      </c>
      <c r="D117" s="25" t="s">
        <v>39</v>
      </c>
      <c r="E117" s="25" t="n">
        <v>120</v>
      </c>
      <c r="F117" s="26" t="n">
        <v>14800.56</v>
      </c>
      <c r="G117" s="26" t="n">
        <v>1143.85</v>
      </c>
      <c r="H117" s="25" t="n">
        <v>556</v>
      </c>
      <c r="I117" s="26" t="n">
        <v>2664.1</v>
      </c>
      <c r="J117" s="25" t="n">
        <v>30</v>
      </c>
    </row>
    <row r="118" customFormat="false" ht="15" hidden="false" customHeight="false" outlineLevel="0" collapsed="false">
      <c r="A118" s="25" t="n">
        <v>9</v>
      </c>
      <c r="B118" s="25" t="s">
        <v>68</v>
      </c>
      <c r="C118" s="25" t="s">
        <v>18</v>
      </c>
      <c r="D118" s="25" t="s">
        <v>45</v>
      </c>
      <c r="E118" s="25" t="n">
        <v>270</v>
      </c>
      <c r="F118" s="26" t="n">
        <v>230593.02</v>
      </c>
      <c r="G118" s="26" t="n">
        <v>13869.12</v>
      </c>
      <c r="H118" s="25" t="n">
        <v>1084</v>
      </c>
      <c r="I118" s="26" t="n">
        <v>25365.23</v>
      </c>
      <c r="J118" s="25" t="n">
        <v>0</v>
      </c>
    </row>
    <row r="119" customFormat="false" ht="15" hidden="false" customHeight="false" outlineLevel="0" collapsed="false">
      <c r="A119" s="25" t="n">
        <v>9</v>
      </c>
      <c r="B119" s="25" t="s">
        <v>68</v>
      </c>
      <c r="C119" s="25" t="s">
        <v>18</v>
      </c>
      <c r="D119" s="25" t="s">
        <v>51</v>
      </c>
      <c r="E119" s="25" t="n">
        <v>270</v>
      </c>
      <c r="F119" s="26" t="n">
        <v>6145.68</v>
      </c>
      <c r="G119" s="26" t="n">
        <v>651.13</v>
      </c>
      <c r="H119" s="25" t="n">
        <v>193</v>
      </c>
      <c r="I119" s="26" t="n">
        <v>860.4</v>
      </c>
      <c r="J119" s="25" t="n">
        <v>30</v>
      </c>
    </row>
    <row r="120" customFormat="false" ht="15" hidden="false" customHeight="false" outlineLevel="0" collapsed="false">
      <c r="A120" s="25" t="n">
        <v>9</v>
      </c>
      <c r="B120" s="25" t="s">
        <v>68</v>
      </c>
      <c r="C120" s="25" t="s">
        <v>15</v>
      </c>
      <c r="D120" s="25" t="s">
        <v>39</v>
      </c>
      <c r="E120" s="25" t="n">
        <v>240</v>
      </c>
      <c r="F120" s="26" t="n">
        <v>30118.81</v>
      </c>
      <c r="G120" s="26" t="n">
        <v>2262.69</v>
      </c>
      <c r="H120" s="25" t="n">
        <v>565</v>
      </c>
      <c r="I120" s="26" t="n">
        <v>5421.39</v>
      </c>
      <c r="J120" s="25" t="n">
        <v>30</v>
      </c>
    </row>
    <row r="121" customFormat="false" ht="15" hidden="false" customHeight="false" outlineLevel="0" collapsed="false">
      <c r="A121" s="25" t="n">
        <v>9</v>
      </c>
      <c r="B121" s="25" t="s">
        <v>68</v>
      </c>
      <c r="C121" s="25" t="s">
        <v>15</v>
      </c>
      <c r="D121" s="25" t="s">
        <v>45</v>
      </c>
      <c r="E121" s="25" t="n">
        <v>90</v>
      </c>
      <c r="F121" s="26" t="n">
        <v>59140.78</v>
      </c>
      <c r="G121" s="26" t="n">
        <v>3323.54</v>
      </c>
      <c r="H121" s="25" t="n">
        <v>280</v>
      </c>
      <c r="I121" s="26" t="n">
        <v>6505.49</v>
      </c>
      <c r="J121" s="25" t="n">
        <v>0</v>
      </c>
    </row>
    <row r="122" customFormat="false" ht="15" hidden="false" customHeight="false" outlineLevel="0" collapsed="false">
      <c r="A122" s="25" t="n">
        <v>9</v>
      </c>
      <c r="B122" s="25" t="s">
        <v>68</v>
      </c>
      <c r="C122" s="25" t="s">
        <v>15</v>
      </c>
      <c r="D122" s="25" t="s">
        <v>51</v>
      </c>
      <c r="E122" s="25" t="n">
        <v>390</v>
      </c>
      <c r="F122" s="26" t="n">
        <v>7529.28</v>
      </c>
      <c r="G122" s="26" t="n">
        <v>833.05</v>
      </c>
      <c r="H122" s="25" t="n">
        <v>282</v>
      </c>
      <c r="I122" s="26" t="n">
        <v>1054.1</v>
      </c>
      <c r="J122" s="25" t="n">
        <v>30</v>
      </c>
    </row>
    <row r="123" customFormat="false" ht="15" hidden="false" customHeight="false" outlineLevel="0" collapsed="false">
      <c r="A123" s="25" t="n">
        <v>9</v>
      </c>
      <c r="B123" s="25" t="s">
        <v>68</v>
      </c>
      <c r="C123" s="25" t="s">
        <v>19</v>
      </c>
      <c r="D123" s="25" t="s">
        <v>39</v>
      </c>
      <c r="E123" s="25" t="n">
        <v>120</v>
      </c>
      <c r="F123" s="26" t="n">
        <v>14040.12</v>
      </c>
      <c r="G123" s="26" t="n">
        <v>1040.48</v>
      </c>
      <c r="H123" s="25" t="n">
        <v>347</v>
      </c>
      <c r="I123" s="26" t="n">
        <v>2527.22</v>
      </c>
      <c r="J123" s="25" t="n">
        <v>30</v>
      </c>
    </row>
    <row r="124" customFormat="false" ht="15" hidden="false" customHeight="false" outlineLevel="0" collapsed="false">
      <c r="A124" s="25" t="n">
        <v>9</v>
      </c>
      <c r="B124" s="25" t="s">
        <v>68</v>
      </c>
      <c r="C124" s="25" t="s">
        <v>19</v>
      </c>
      <c r="D124" s="25" t="s">
        <v>51</v>
      </c>
      <c r="E124" s="25" t="n">
        <v>600</v>
      </c>
      <c r="F124" s="26" t="n">
        <v>11174.42</v>
      </c>
      <c r="G124" s="26" t="n">
        <v>1244.3</v>
      </c>
      <c r="H124" s="25" t="n">
        <v>3945</v>
      </c>
      <c r="I124" s="26" t="n">
        <v>1564.42</v>
      </c>
      <c r="J124" s="25" t="n">
        <v>150</v>
      </c>
    </row>
    <row r="125" customFormat="false" ht="15" hidden="false" customHeight="false" outlineLevel="0" collapsed="false">
      <c r="A125" s="25" t="n">
        <v>9</v>
      </c>
      <c r="B125" s="25" t="s">
        <v>68</v>
      </c>
      <c r="C125" s="25" t="s">
        <v>16</v>
      </c>
      <c r="D125" s="25" t="s">
        <v>39</v>
      </c>
      <c r="E125" s="25" t="n">
        <v>150</v>
      </c>
      <c r="F125" s="26" t="n">
        <v>24135.54</v>
      </c>
      <c r="G125" s="26" t="n">
        <v>1790.6</v>
      </c>
      <c r="H125" s="25" t="n">
        <v>258</v>
      </c>
      <c r="I125" s="26" t="n">
        <v>4344.4</v>
      </c>
      <c r="J125" s="25" t="n">
        <v>0</v>
      </c>
    </row>
    <row r="126" customFormat="false" ht="15" hidden="false" customHeight="false" outlineLevel="0" collapsed="false">
      <c r="A126" s="25" t="n">
        <v>9</v>
      </c>
      <c r="B126" s="25" t="s">
        <v>68</v>
      </c>
      <c r="C126" s="25" t="s">
        <v>16</v>
      </c>
      <c r="D126" s="25" t="s">
        <v>45</v>
      </c>
      <c r="E126" s="25" t="n">
        <v>90</v>
      </c>
      <c r="F126" s="26" t="n">
        <v>48079.53</v>
      </c>
      <c r="G126" s="26" t="n">
        <v>2848.41</v>
      </c>
      <c r="H126" s="25" t="n">
        <v>573</v>
      </c>
      <c r="I126" s="26" t="n">
        <v>5288.75</v>
      </c>
      <c r="J126" s="25" t="n">
        <v>30</v>
      </c>
    </row>
    <row r="127" customFormat="false" ht="15" hidden="false" customHeight="false" outlineLevel="0" collapsed="false">
      <c r="A127" s="25" t="n">
        <v>9</v>
      </c>
      <c r="B127" s="25" t="s">
        <v>68</v>
      </c>
      <c r="C127" s="25" t="s">
        <v>16</v>
      </c>
      <c r="D127" s="25" t="s">
        <v>51</v>
      </c>
      <c r="E127" s="25" t="n">
        <v>420</v>
      </c>
      <c r="F127" s="26" t="n">
        <v>8356.08</v>
      </c>
      <c r="G127" s="26" t="n">
        <v>892.21</v>
      </c>
      <c r="H127" s="25" t="n">
        <v>1540</v>
      </c>
      <c r="I127" s="26" t="n">
        <v>1169.85</v>
      </c>
      <c r="J127" s="25" t="n">
        <v>0</v>
      </c>
    </row>
    <row r="128" customFormat="false" ht="15" hidden="false" customHeight="false" outlineLevel="0" collapsed="false">
      <c r="A128" s="25" t="n">
        <v>10</v>
      </c>
      <c r="B128" s="25" t="s">
        <v>69</v>
      </c>
      <c r="C128" s="25" t="s">
        <v>17</v>
      </c>
      <c r="D128" s="25" t="s">
        <v>39</v>
      </c>
      <c r="E128" s="25" t="n">
        <v>496</v>
      </c>
      <c r="F128" s="26" t="n">
        <v>61193.03</v>
      </c>
      <c r="G128" s="26" t="n">
        <v>4680.61</v>
      </c>
      <c r="H128" s="25" t="n">
        <v>433</v>
      </c>
      <c r="I128" s="26" t="n">
        <v>11014.75</v>
      </c>
      <c r="J128" s="25" t="n">
        <v>0</v>
      </c>
    </row>
    <row r="129" customFormat="false" ht="15" hidden="false" customHeight="false" outlineLevel="0" collapsed="false">
      <c r="A129" s="25" t="n">
        <v>10</v>
      </c>
      <c r="B129" s="25" t="s">
        <v>69</v>
      </c>
      <c r="C129" s="25" t="s">
        <v>17</v>
      </c>
      <c r="D129" s="25" t="s">
        <v>45</v>
      </c>
      <c r="E129" s="25" t="n">
        <v>93</v>
      </c>
      <c r="F129" s="26" t="n">
        <v>61654.9</v>
      </c>
      <c r="G129" s="26" t="n">
        <v>3725.25</v>
      </c>
      <c r="H129" s="25" t="n">
        <v>0</v>
      </c>
      <c r="I129" s="26" t="n">
        <v>6782.04</v>
      </c>
      <c r="J129" s="25" t="n">
        <v>0</v>
      </c>
    </row>
    <row r="130" customFormat="false" ht="15" hidden="false" customHeight="false" outlineLevel="0" collapsed="false">
      <c r="A130" s="25" t="n">
        <v>10</v>
      </c>
      <c r="B130" s="25" t="s">
        <v>69</v>
      </c>
      <c r="C130" s="25" t="s">
        <v>17</v>
      </c>
      <c r="D130" s="25" t="s">
        <v>51</v>
      </c>
      <c r="E130" s="25" t="n">
        <v>279</v>
      </c>
      <c r="F130" s="26" t="n">
        <v>5013.63</v>
      </c>
      <c r="G130" s="26" t="n">
        <v>569.54</v>
      </c>
      <c r="H130" s="25" t="n">
        <v>244</v>
      </c>
      <c r="I130" s="26" t="n">
        <v>701.91</v>
      </c>
      <c r="J130" s="25" t="n">
        <v>0</v>
      </c>
    </row>
    <row r="131" customFormat="false" ht="15" hidden="false" customHeight="false" outlineLevel="0" collapsed="false">
      <c r="A131" s="25" t="n">
        <v>10</v>
      </c>
      <c r="B131" s="25" t="s">
        <v>69</v>
      </c>
      <c r="C131" s="25" t="s">
        <v>18</v>
      </c>
      <c r="D131" s="25" t="s">
        <v>39</v>
      </c>
      <c r="E131" s="25" t="n">
        <v>124</v>
      </c>
      <c r="F131" s="26" t="n">
        <v>13484.69</v>
      </c>
      <c r="G131" s="26" t="n">
        <v>1046.3</v>
      </c>
      <c r="H131" s="25" t="n">
        <v>406</v>
      </c>
      <c r="I131" s="26" t="n">
        <v>2427.24</v>
      </c>
      <c r="J131" s="25" t="n">
        <v>31</v>
      </c>
    </row>
    <row r="132" customFormat="false" ht="15" hidden="false" customHeight="false" outlineLevel="0" collapsed="false">
      <c r="A132" s="25" t="n">
        <v>10</v>
      </c>
      <c r="B132" s="25" t="s">
        <v>69</v>
      </c>
      <c r="C132" s="25" t="s">
        <v>18</v>
      </c>
      <c r="D132" s="25" t="s">
        <v>45</v>
      </c>
      <c r="E132" s="25" t="n">
        <v>279</v>
      </c>
      <c r="F132" s="26" t="n">
        <v>209133.94</v>
      </c>
      <c r="G132" s="26" t="n">
        <v>12576.38</v>
      </c>
      <c r="H132" s="25" t="n">
        <v>342</v>
      </c>
      <c r="I132" s="26" t="n">
        <v>23004.73</v>
      </c>
      <c r="J132" s="25" t="n">
        <v>0</v>
      </c>
    </row>
    <row r="133" customFormat="false" ht="15" hidden="false" customHeight="false" outlineLevel="0" collapsed="false">
      <c r="A133" s="25" t="n">
        <v>10</v>
      </c>
      <c r="B133" s="25" t="s">
        <v>69</v>
      </c>
      <c r="C133" s="25" t="s">
        <v>18</v>
      </c>
      <c r="D133" s="25" t="s">
        <v>51</v>
      </c>
      <c r="E133" s="25" t="n">
        <v>279</v>
      </c>
      <c r="F133" s="26" t="n">
        <v>5520.11</v>
      </c>
      <c r="G133" s="26" t="n">
        <v>584.74</v>
      </c>
      <c r="H133" s="25" t="n">
        <v>852</v>
      </c>
      <c r="I133" s="26" t="n">
        <v>772.82</v>
      </c>
      <c r="J133" s="25" t="n">
        <v>31</v>
      </c>
    </row>
    <row r="134" customFormat="false" ht="15" hidden="false" customHeight="false" outlineLevel="0" collapsed="false">
      <c r="A134" s="25" t="n">
        <v>10</v>
      </c>
      <c r="B134" s="25" t="s">
        <v>69</v>
      </c>
      <c r="C134" s="25" t="s">
        <v>15</v>
      </c>
      <c r="D134" s="25" t="s">
        <v>39</v>
      </c>
      <c r="E134" s="25" t="n">
        <v>248</v>
      </c>
      <c r="F134" s="26" t="n">
        <v>27520.49</v>
      </c>
      <c r="G134" s="26" t="n">
        <v>2062.71</v>
      </c>
      <c r="H134" s="25" t="n">
        <v>448</v>
      </c>
      <c r="I134" s="26" t="n">
        <v>4953.69</v>
      </c>
      <c r="J134" s="25" t="n">
        <v>31</v>
      </c>
    </row>
    <row r="135" customFormat="false" ht="15" hidden="false" customHeight="false" outlineLevel="0" collapsed="false">
      <c r="A135" s="25" t="n">
        <v>10</v>
      </c>
      <c r="B135" s="25" t="s">
        <v>69</v>
      </c>
      <c r="C135" s="25" t="s">
        <v>15</v>
      </c>
      <c r="D135" s="25" t="s">
        <v>45</v>
      </c>
      <c r="E135" s="25" t="n">
        <v>93</v>
      </c>
      <c r="F135" s="26" t="n">
        <v>54270.39</v>
      </c>
      <c r="G135" s="26" t="n">
        <v>3028.89</v>
      </c>
      <c r="H135" s="25" t="n">
        <v>275</v>
      </c>
      <c r="I135" s="26" t="n">
        <v>5969.74</v>
      </c>
      <c r="J135" s="25" t="n">
        <v>0</v>
      </c>
    </row>
    <row r="136" customFormat="false" ht="15" hidden="false" customHeight="false" outlineLevel="0" collapsed="false">
      <c r="A136" s="25" t="n">
        <v>10</v>
      </c>
      <c r="B136" s="25" t="s">
        <v>69</v>
      </c>
      <c r="C136" s="25" t="s">
        <v>15</v>
      </c>
      <c r="D136" s="25" t="s">
        <v>51</v>
      </c>
      <c r="E136" s="25" t="n">
        <v>403</v>
      </c>
      <c r="F136" s="26" t="n">
        <v>6836.7</v>
      </c>
      <c r="G136" s="26" t="n">
        <v>754.98</v>
      </c>
      <c r="H136" s="25" t="n">
        <v>1010</v>
      </c>
      <c r="I136" s="26" t="n">
        <v>957.14</v>
      </c>
      <c r="J136" s="25" t="n">
        <v>31</v>
      </c>
    </row>
    <row r="137" customFormat="false" ht="15" hidden="false" customHeight="false" outlineLevel="0" collapsed="false">
      <c r="A137" s="25" t="n">
        <v>10</v>
      </c>
      <c r="B137" s="25" t="s">
        <v>69</v>
      </c>
      <c r="C137" s="25" t="s">
        <v>19</v>
      </c>
      <c r="D137" s="25" t="s">
        <v>39</v>
      </c>
      <c r="E137" s="25" t="n">
        <v>124</v>
      </c>
      <c r="F137" s="26" t="n">
        <v>12634.76</v>
      </c>
      <c r="G137" s="26" t="n">
        <v>936.9</v>
      </c>
      <c r="H137" s="25" t="n">
        <v>876</v>
      </c>
      <c r="I137" s="26" t="n">
        <v>2274.26</v>
      </c>
      <c r="J137" s="25" t="n">
        <v>31</v>
      </c>
    </row>
    <row r="138" customFormat="false" ht="15" hidden="false" customHeight="false" outlineLevel="0" collapsed="false">
      <c r="A138" s="25" t="n">
        <v>10</v>
      </c>
      <c r="B138" s="25" t="s">
        <v>69</v>
      </c>
      <c r="C138" s="25" t="s">
        <v>19</v>
      </c>
      <c r="D138" s="25" t="s">
        <v>51</v>
      </c>
      <c r="E138" s="25" t="n">
        <v>620</v>
      </c>
      <c r="F138" s="26" t="n">
        <v>9985.76</v>
      </c>
      <c r="G138" s="26" t="n">
        <v>1115.52</v>
      </c>
      <c r="H138" s="25" t="n">
        <v>4114</v>
      </c>
      <c r="I138" s="26" t="n">
        <v>1398.01</v>
      </c>
      <c r="J138" s="25" t="n">
        <v>155</v>
      </c>
    </row>
    <row r="139" customFormat="false" ht="15" hidden="false" customHeight="false" outlineLevel="0" collapsed="false">
      <c r="A139" s="25" t="n">
        <v>10</v>
      </c>
      <c r="B139" s="25" t="s">
        <v>69</v>
      </c>
      <c r="C139" s="25" t="s">
        <v>16</v>
      </c>
      <c r="D139" s="25" t="s">
        <v>39</v>
      </c>
      <c r="E139" s="25" t="n">
        <v>155</v>
      </c>
      <c r="F139" s="26" t="n">
        <v>22470.67</v>
      </c>
      <c r="G139" s="26" t="n">
        <v>1666.63</v>
      </c>
      <c r="H139" s="25" t="n">
        <v>455</v>
      </c>
      <c r="I139" s="26" t="n">
        <v>4044.72</v>
      </c>
      <c r="J139" s="25" t="n">
        <v>0</v>
      </c>
    </row>
    <row r="140" customFormat="false" ht="15" hidden="false" customHeight="false" outlineLevel="0" collapsed="false">
      <c r="A140" s="25" t="n">
        <v>10</v>
      </c>
      <c r="B140" s="25" t="s">
        <v>69</v>
      </c>
      <c r="C140" s="25" t="s">
        <v>16</v>
      </c>
      <c r="D140" s="25" t="s">
        <v>45</v>
      </c>
      <c r="E140" s="25" t="n">
        <v>93</v>
      </c>
      <c r="F140" s="26" t="n">
        <v>42184.8</v>
      </c>
      <c r="G140" s="26" t="n">
        <v>2487.64</v>
      </c>
      <c r="H140" s="25" t="n">
        <v>582</v>
      </c>
      <c r="I140" s="26" t="n">
        <v>4640.33</v>
      </c>
      <c r="J140" s="25" t="n">
        <v>31</v>
      </c>
    </row>
    <row r="141" customFormat="false" ht="15" hidden="false" customHeight="false" outlineLevel="0" collapsed="false">
      <c r="A141" s="25" t="n">
        <v>10</v>
      </c>
      <c r="B141" s="25" t="s">
        <v>69</v>
      </c>
      <c r="C141" s="25" t="s">
        <v>16</v>
      </c>
      <c r="D141" s="25" t="s">
        <v>51</v>
      </c>
      <c r="E141" s="25" t="n">
        <v>434</v>
      </c>
      <c r="F141" s="26" t="n">
        <v>7677.75</v>
      </c>
      <c r="G141" s="26" t="n">
        <v>818.07</v>
      </c>
      <c r="H141" s="25" t="n">
        <v>1098</v>
      </c>
      <c r="I141" s="26" t="n">
        <v>1074.88</v>
      </c>
      <c r="J141" s="25" t="n">
        <v>0</v>
      </c>
    </row>
    <row r="142" customFormat="false" ht="15" hidden="false" customHeight="false" outlineLevel="0" collapsed="false">
      <c r="A142" s="25" t="n">
        <v>11</v>
      </c>
      <c r="B142" s="25" t="s">
        <v>70</v>
      </c>
      <c r="C142" s="25" t="s">
        <v>17</v>
      </c>
      <c r="D142" s="25" t="s">
        <v>39</v>
      </c>
      <c r="E142" s="25" t="n">
        <v>480</v>
      </c>
      <c r="F142" s="26" t="n">
        <v>53277.57</v>
      </c>
      <c r="G142" s="26" t="n">
        <v>4083.64</v>
      </c>
      <c r="H142" s="25" t="n">
        <v>709</v>
      </c>
      <c r="I142" s="26" t="n">
        <v>9589.96</v>
      </c>
      <c r="J142" s="25" t="n">
        <v>22</v>
      </c>
    </row>
    <row r="143" customFormat="false" ht="15" hidden="false" customHeight="false" outlineLevel="0" collapsed="false">
      <c r="A143" s="25" t="n">
        <v>11</v>
      </c>
      <c r="B143" s="25" t="s">
        <v>70</v>
      </c>
      <c r="C143" s="25" t="s">
        <v>17</v>
      </c>
      <c r="D143" s="25" t="s">
        <v>45</v>
      </c>
      <c r="E143" s="25" t="n">
        <v>90</v>
      </c>
      <c r="F143" s="26" t="n">
        <v>52036.64</v>
      </c>
      <c r="G143" s="26" t="n">
        <v>3135.48</v>
      </c>
      <c r="H143" s="25" t="n">
        <v>154</v>
      </c>
      <c r="I143" s="26" t="n">
        <v>5724.03</v>
      </c>
      <c r="J143" s="25" t="n">
        <v>0</v>
      </c>
    </row>
    <row r="144" customFormat="false" ht="15" hidden="false" customHeight="false" outlineLevel="0" collapsed="false">
      <c r="A144" s="25" t="n">
        <v>11</v>
      </c>
      <c r="B144" s="25" t="s">
        <v>70</v>
      </c>
      <c r="C144" s="25" t="s">
        <v>17</v>
      </c>
      <c r="D144" s="25" t="s">
        <v>51</v>
      </c>
      <c r="E144" s="25" t="n">
        <v>270</v>
      </c>
      <c r="F144" s="26" t="n">
        <v>4267.45</v>
      </c>
      <c r="G144" s="26" t="n">
        <v>482.04</v>
      </c>
      <c r="H144" s="25" t="n">
        <v>892</v>
      </c>
      <c r="I144" s="26" t="n">
        <v>597.44</v>
      </c>
      <c r="J144" s="25" t="n">
        <v>0</v>
      </c>
    </row>
    <row r="145" customFormat="false" ht="15" hidden="false" customHeight="false" outlineLevel="0" collapsed="false">
      <c r="A145" s="25" t="n">
        <v>11</v>
      </c>
      <c r="B145" s="25" t="s">
        <v>70</v>
      </c>
      <c r="C145" s="25" t="s">
        <v>18</v>
      </c>
      <c r="D145" s="25" t="s">
        <v>39</v>
      </c>
      <c r="E145" s="25" t="n">
        <v>120</v>
      </c>
      <c r="F145" s="26" t="n">
        <v>12043.71</v>
      </c>
      <c r="G145" s="26" t="n">
        <v>932.27</v>
      </c>
      <c r="H145" s="25" t="n">
        <v>294</v>
      </c>
      <c r="I145" s="26" t="n">
        <v>2167.87</v>
      </c>
      <c r="J145" s="25" t="n">
        <v>30</v>
      </c>
    </row>
    <row r="146" customFormat="false" ht="15" hidden="false" customHeight="false" outlineLevel="0" collapsed="false">
      <c r="A146" s="25" t="n">
        <v>11</v>
      </c>
      <c r="B146" s="25" t="s">
        <v>70</v>
      </c>
      <c r="C146" s="25" t="s">
        <v>18</v>
      </c>
      <c r="D146" s="25" t="s">
        <v>45</v>
      </c>
      <c r="E146" s="25" t="n">
        <v>270</v>
      </c>
      <c r="F146" s="26" t="n">
        <v>185101.87</v>
      </c>
      <c r="G146" s="26" t="n">
        <v>11114.44</v>
      </c>
      <c r="H146" s="25" t="n">
        <v>752</v>
      </c>
      <c r="I146" s="26" t="n">
        <v>20361.21</v>
      </c>
      <c r="J146" s="25" t="n">
        <v>0</v>
      </c>
    </row>
    <row r="147" customFormat="false" ht="15" hidden="false" customHeight="false" outlineLevel="0" collapsed="false">
      <c r="A147" s="25" t="n">
        <v>11</v>
      </c>
      <c r="B147" s="25" t="s">
        <v>70</v>
      </c>
      <c r="C147" s="25" t="s">
        <v>18</v>
      </c>
      <c r="D147" s="25" t="s">
        <v>51</v>
      </c>
      <c r="E147" s="25" t="n">
        <v>270</v>
      </c>
      <c r="F147" s="26" t="n">
        <v>4796.52</v>
      </c>
      <c r="G147" s="26" t="n">
        <v>508.13</v>
      </c>
      <c r="H147" s="25" t="n">
        <v>525</v>
      </c>
      <c r="I147" s="26" t="n">
        <v>671.51</v>
      </c>
      <c r="J147" s="25" t="n">
        <v>30</v>
      </c>
    </row>
    <row r="148" customFormat="false" ht="15" hidden="false" customHeight="false" outlineLevel="0" collapsed="false">
      <c r="A148" s="25" t="n">
        <v>11</v>
      </c>
      <c r="B148" s="25" t="s">
        <v>70</v>
      </c>
      <c r="C148" s="25" t="s">
        <v>15</v>
      </c>
      <c r="D148" s="25" t="s">
        <v>39</v>
      </c>
      <c r="E148" s="25" t="n">
        <v>240</v>
      </c>
      <c r="F148" s="26" t="n">
        <v>24030.28</v>
      </c>
      <c r="G148" s="26" t="n">
        <v>1799.87</v>
      </c>
      <c r="H148" s="25" t="n">
        <v>299</v>
      </c>
      <c r="I148" s="26" t="n">
        <v>4325.45</v>
      </c>
      <c r="J148" s="25" t="n">
        <v>30</v>
      </c>
    </row>
    <row r="149" customFormat="false" ht="15" hidden="false" customHeight="false" outlineLevel="0" collapsed="false">
      <c r="A149" s="25" t="n">
        <v>11</v>
      </c>
      <c r="B149" s="25" t="s">
        <v>70</v>
      </c>
      <c r="C149" s="25" t="s">
        <v>15</v>
      </c>
      <c r="D149" s="25" t="s">
        <v>45</v>
      </c>
      <c r="E149" s="25" t="n">
        <v>90</v>
      </c>
      <c r="F149" s="26" t="n">
        <v>46791.21</v>
      </c>
      <c r="G149" s="26" t="n">
        <v>2610.57</v>
      </c>
      <c r="H149" s="25" t="n">
        <v>0</v>
      </c>
      <c r="I149" s="26" t="n">
        <v>5147.03</v>
      </c>
      <c r="J149" s="25" t="n">
        <v>0</v>
      </c>
    </row>
    <row r="150" customFormat="false" ht="15" hidden="false" customHeight="false" outlineLevel="0" collapsed="false">
      <c r="A150" s="25" t="n">
        <v>11</v>
      </c>
      <c r="B150" s="25" t="s">
        <v>70</v>
      </c>
      <c r="C150" s="25" t="s">
        <v>15</v>
      </c>
      <c r="D150" s="25" t="s">
        <v>51</v>
      </c>
      <c r="E150" s="25" t="n">
        <v>390</v>
      </c>
      <c r="F150" s="26" t="n">
        <v>5966.79</v>
      </c>
      <c r="G150" s="26" t="n">
        <v>662.91</v>
      </c>
      <c r="H150" s="25" t="n">
        <v>505</v>
      </c>
      <c r="I150" s="26" t="n">
        <v>835.35</v>
      </c>
      <c r="J150" s="25" t="n">
        <v>30</v>
      </c>
    </row>
    <row r="151" customFormat="false" ht="15" hidden="false" customHeight="false" outlineLevel="0" collapsed="false">
      <c r="A151" s="25" t="n">
        <v>11</v>
      </c>
      <c r="B151" s="25" t="s">
        <v>70</v>
      </c>
      <c r="C151" s="25" t="s">
        <v>19</v>
      </c>
      <c r="D151" s="25" t="s">
        <v>39</v>
      </c>
      <c r="E151" s="25" t="n">
        <v>120</v>
      </c>
      <c r="F151" s="26" t="n">
        <v>11210.95</v>
      </c>
      <c r="G151" s="26" t="n">
        <v>834.78</v>
      </c>
      <c r="H151" s="25" t="n">
        <v>1063</v>
      </c>
      <c r="I151" s="26" t="n">
        <v>2017.97</v>
      </c>
      <c r="J151" s="25" t="n">
        <v>30</v>
      </c>
    </row>
    <row r="152" customFormat="false" ht="15" hidden="false" customHeight="false" outlineLevel="0" collapsed="false">
      <c r="A152" s="25" t="n">
        <v>11</v>
      </c>
      <c r="B152" s="25" t="s">
        <v>70</v>
      </c>
      <c r="C152" s="25" t="s">
        <v>19</v>
      </c>
      <c r="D152" s="25" t="s">
        <v>51</v>
      </c>
      <c r="E152" s="25" t="n">
        <v>600</v>
      </c>
      <c r="F152" s="26" t="n">
        <v>8657.06</v>
      </c>
      <c r="G152" s="26" t="n">
        <v>964.17</v>
      </c>
      <c r="H152" s="25" t="n">
        <v>4629</v>
      </c>
      <c r="I152" s="26" t="n">
        <v>1211.99</v>
      </c>
      <c r="J152" s="25" t="n">
        <v>150</v>
      </c>
    </row>
    <row r="153" customFormat="false" ht="15" hidden="false" customHeight="false" outlineLevel="0" collapsed="false">
      <c r="A153" s="25" t="n">
        <v>11</v>
      </c>
      <c r="B153" s="25" t="s">
        <v>70</v>
      </c>
      <c r="C153" s="25" t="s">
        <v>16</v>
      </c>
      <c r="D153" s="25" t="s">
        <v>39</v>
      </c>
      <c r="E153" s="25" t="n">
        <v>150</v>
      </c>
      <c r="F153" s="26" t="n">
        <v>19163.11</v>
      </c>
      <c r="G153" s="26" t="n">
        <v>1425.44</v>
      </c>
      <c r="H153" s="25" t="n">
        <v>47</v>
      </c>
      <c r="I153" s="26" t="n">
        <v>3449.36</v>
      </c>
      <c r="J153" s="25" t="n">
        <v>0</v>
      </c>
    </row>
    <row r="154" customFormat="false" ht="15" hidden="false" customHeight="false" outlineLevel="0" collapsed="false">
      <c r="A154" s="25" t="n">
        <v>11</v>
      </c>
      <c r="B154" s="25" t="s">
        <v>70</v>
      </c>
      <c r="C154" s="25" t="s">
        <v>16</v>
      </c>
      <c r="D154" s="25" t="s">
        <v>45</v>
      </c>
      <c r="E154" s="25" t="n">
        <v>90</v>
      </c>
      <c r="F154" s="26" t="n">
        <v>37482.99</v>
      </c>
      <c r="G154" s="26" t="n">
        <v>2209.21</v>
      </c>
      <c r="H154" s="25" t="n">
        <v>433</v>
      </c>
      <c r="I154" s="26" t="n">
        <v>4123.13</v>
      </c>
      <c r="J154" s="25" t="n">
        <v>30</v>
      </c>
    </row>
    <row r="155" customFormat="false" ht="15" hidden="false" customHeight="false" outlineLevel="0" collapsed="false">
      <c r="A155" s="25" t="n">
        <v>11</v>
      </c>
      <c r="B155" s="25" t="s">
        <v>70</v>
      </c>
      <c r="C155" s="25" t="s">
        <v>16</v>
      </c>
      <c r="D155" s="25" t="s">
        <v>51</v>
      </c>
      <c r="E155" s="25" t="n">
        <v>420</v>
      </c>
      <c r="F155" s="26" t="n">
        <v>6595.58</v>
      </c>
      <c r="G155" s="26" t="n">
        <v>705.26</v>
      </c>
      <c r="H155" s="25" t="n">
        <v>1550</v>
      </c>
      <c r="I155" s="26" t="n">
        <v>923.38</v>
      </c>
      <c r="J155" s="25" t="n">
        <v>0</v>
      </c>
    </row>
    <row r="156" customFormat="false" ht="15" hidden="false" customHeight="false" outlineLevel="0" collapsed="false">
      <c r="A156" s="25" t="n">
        <v>12</v>
      </c>
      <c r="B156" s="25" t="s">
        <v>71</v>
      </c>
      <c r="C156" s="25" t="s">
        <v>17</v>
      </c>
      <c r="D156" s="25" t="s">
        <v>39</v>
      </c>
      <c r="E156" s="25" t="n">
        <v>496</v>
      </c>
      <c r="F156" s="26" t="n">
        <v>50728.04</v>
      </c>
      <c r="G156" s="26" t="n">
        <v>3892.63</v>
      </c>
      <c r="H156" s="25" t="n">
        <v>1097</v>
      </c>
      <c r="I156" s="26" t="n">
        <v>9131.05</v>
      </c>
      <c r="J156" s="25" t="n">
        <v>31</v>
      </c>
    </row>
    <row r="157" customFormat="false" ht="15" hidden="false" customHeight="false" outlineLevel="0" collapsed="false">
      <c r="A157" s="25" t="n">
        <v>12</v>
      </c>
      <c r="B157" s="25" t="s">
        <v>71</v>
      </c>
      <c r="C157" s="25" t="s">
        <v>17</v>
      </c>
      <c r="D157" s="25" t="s">
        <v>45</v>
      </c>
      <c r="E157" s="25" t="n">
        <v>93</v>
      </c>
      <c r="F157" s="26" t="n">
        <v>51153.67</v>
      </c>
      <c r="G157" s="26" t="n">
        <v>3098.37</v>
      </c>
      <c r="H157" s="25" t="n">
        <v>87</v>
      </c>
      <c r="I157" s="26" t="n">
        <v>5626.9</v>
      </c>
      <c r="J157" s="25" t="n">
        <v>0</v>
      </c>
    </row>
    <row r="158" customFormat="false" ht="15" hidden="false" customHeight="false" outlineLevel="0" collapsed="false">
      <c r="A158" s="25" t="n">
        <v>12</v>
      </c>
      <c r="B158" s="25" t="s">
        <v>71</v>
      </c>
      <c r="C158" s="25" t="s">
        <v>17</v>
      </c>
      <c r="D158" s="25" t="s">
        <v>51</v>
      </c>
      <c r="E158" s="25" t="n">
        <v>279</v>
      </c>
      <c r="F158" s="26" t="n">
        <v>4205.07</v>
      </c>
      <c r="G158" s="26" t="n">
        <v>474.84</v>
      </c>
      <c r="H158" s="25" t="n">
        <v>314</v>
      </c>
      <c r="I158" s="26" t="n">
        <v>588.71</v>
      </c>
      <c r="J158" s="25" t="n">
        <v>0</v>
      </c>
    </row>
    <row r="159" customFormat="false" ht="15" hidden="false" customHeight="false" outlineLevel="0" collapsed="false">
      <c r="A159" s="25" t="n">
        <v>12</v>
      </c>
      <c r="B159" s="25" t="s">
        <v>71</v>
      </c>
      <c r="C159" s="25" t="s">
        <v>18</v>
      </c>
      <c r="D159" s="25" t="s">
        <v>39</v>
      </c>
      <c r="E159" s="25" t="n">
        <v>124</v>
      </c>
      <c r="F159" s="26" t="n">
        <v>11332.25</v>
      </c>
      <c r="G159" s="26" t="n">
        <v>878.96</v>
      </c>
      <c r="H159" s="25" t="n">
        <v>241</v>
      </c>
      <c r="I159" s="26" t="n">
        <v>2039.8</v>
      </c>
      <c r="J159" s="25" t="n">
        <v>31</v>
      </c>
    </row>
    <row r="160" customFormat="false" ht="15" hidden="false" customHeight="false" outlineLevel="0" collapsed="false">
      <c r="A160" s="25" t="n">
        <v>12</v>
      </c>
      <c r="B160" s="25" t="s">
        <v>71</v>
      </c>
      <c r="C160" s="25" t="s">
        <v>18</v>
      </c>
      <c r="D160" s="25" t="s">
        <v>45</v>
      </c>
      <c r="E160" s="25" t="n">
        <v>279</v>
      </c>
      <c r="F160" s="26" t="n">
        <v>176433.87</v>
      </c>
      <c r="G160" s="26" t="n">
        <v>10589.48</v>
      </c>
      <c r="H160" s="25" t="n">
        <v>519</v>
      </c>
      <c r="I160" s="26" t="n">
        <v>19407.73</v>
      </c>
      <c r="J160" s="25" t="n">
        <v>0</v>
      </c>
    </row>
    <row r="161" customFormat="false" ht="15" hidden="false" customHeight="false" outlineLevel="0" collapsed="false">
      <c r="A161" s="25" t="n">
        <v>12</v>
      </c>
      <c r="B161" s="25" t="s">
        <v>71</v>
      </c>
      <c r="C161" s="25" t="s">
        <v>18</v>
      </c>
      <c r="D161" s="25" t="s">
        <v>51</v>
      </c>
      <c r="E161" s="25" t="n">
        <v>279</v>
      </c>
      <c r="F161" s="26" t="n">
        <v>4705.25</v>
      </c>
      <c r="G161" s="26" t="n">
        <v>499.49</v>
      </c>
      <c r="H161" s="25" t="n">
        <v>652</v>
      </c>
      <c r="I161" s="26" t="n">
        <v>658.74</v>
      </c>
      <c r="J161" s="25" t="n">
        <v>31</v>
      </c>
    </row>
    <row r="162" customFormat="false" ht="15" hidden="false" customHeight="false" outlineLevel="0" collapsed="false">
      <c r="A162" s="25" t="n">
        <v>12</v>
      </c>
      <c r="B162" s="25" t="s">
        <v>71</v>
      </c>
      <c r="C162" s="25" t="s">
        <v>15</v>
      </c>
      <c r="D162" s="25" t="s">
        <v>39</v>
      </c>
      <c r="E162" s="25" t="n">
        <v>248</v>
      </c>
      <c r="F162" s="26" t="n">
        <v>22991.84</v>
      </c>
      <c r="G162" s="26" t="n">
        <v>1723.8</v>
      </c>
      <c r="H162" s="25" t="n">
        <v>755</v>
      </c>
      <c r="I162" s="26" t="n">
        <v>4138.53</v>
      </c>
      <c r="J162" s="25" t="n">
        <v>31</v>
      </c>
    </row>
    <row r="163" customFormat="false" ht="15" hidden="false" customHeight="false" outlineLevel="0" collapsed="false">
      <c r="A163" s="25" t="n">
        <v>12</v>
      </c>
      <c r="B163" s="25" t="s">
        <v>71</v>
      </c>
      <c r="C163" s="25" t="s">
        <v>15</v>
      </c>
      <c r="D163" s="25" t="s">
        <v>45</v>
      </c>
      <c r="E163" s="25" t="n">
        <v>93</v>
      </c>
      <c r="F163" s="26" t="n">
        <v>45184.42</v>
      </c>
      <c r="G163" s="26" t="n">
        <v>2541.77</v>
      </c>
      <c r="H163" s="25" t="n">
        <v>140</v>
      </c>
      <c r="I163" s="26" t="n">
        <v>4970.29</v>
      </c>
      <c r="J163" s="25" t="n">
        <v>0</v>
      </c>
    </row>
    <row r="164" customFormat="false" ht="15" hidden="false" customHeight="false" outlineLevel="0" collapsed="false">
      <c r="A164" s="25" t="n">
        <v>12</v>
      </c>
      <c r="B164" s="25" t="s">
        <v>71</v>
      </c>
      <c r="C164" s="25" t="s">
        <v>15</v>
      </c>
      <c r="D164" s="25" t="s">
        <v>51</v>
      </c>
      <c r="E164" s="25" t="n">
        <v>403</v>
      </c>
      <c r="F164" s="26" t="n">
        <v>5849.78</v>
      </c>
      <c r="G164" s="26" t="n">
        <v>648.46</v>
      </c>
      <c r="H164" s="25" t="n">
        <v>1037</v>
      </c>
      <c r="I164" s="26" t="n">
        <v>818.97</v>
      </c>
      <c r="J164" s="25" t="n">
        <v>31</v>
      </c>
    </row>
    <row r="165" customFormat="false" ht="15" hidden="false" customHeight="false" outlineLevel="0" collapsed="false">
      <c r="A165" s="25" t="n">
        <v>12</v>
      </c>
      <c r="B165" s="25" t="s">
        <v>71</v>
      </c>
      <c r="C165" s="25" t="s">
        <v>19</v>
      </c>
      <c r="D165" s="25" t="s">
        <v>39</v>
      </c>
      <c r="E165" s="25" t="n">
        <v>124</v>
      </c>
      <c r="F165" s="26" t="n">
        <v>10465.32</v>
      </c>
      <c r="G165" s="26" t="n">
        <v>770.58</v>
      </c>
      <c r="H165" s="25" t="n">
        <v>1068</v>
      </c>
      <c r="I165" s="26" t="n">
        <v>1883.76</v>
      </c>
      <c r="J165" s="25" t="n">
        <v>31</v>
      </c>
    </row>
    <row r="166" customFormat="false" ht="15" hidden="false" customHeight="false" outlineLevel="0" collapsed="false">
      <c r="A166" s="25" t="n">
        <v>12</v>
      </c>
      <c r="B166" s="25" t="s">
        <v>71</v>
      </c>
      <c r="C166" s="25" t="s">
        <v>19</v>
      </c>
      <c r="D166" s="25" t="s">
        <v>51</v>
      </c>
      <c r="E166" s="25" t="n">
        <v>620</v>
      </c>
      <c r="F166" s="26" t="n">
        <v>8547.15</v>
      </c>
      <c r="G166" s="26" t="n">
        <v>953.09</v>
      </c>
      <c r="H166" s="25" t="n">
        <v>3867</v>
      </c>
      <c r="I166" s="26" t="n">
        <v>1196.6</v>
      </c>
      <c r="J166" s="25" t="n">
        <v>155</v>
      </c>
    </row>
    <row r="167" customFormat="false" ht="15" hidden="false" customHeight="false" outlineLevel="0" collapsed="false">
      <c r="A167" s="25" t="n">
        <v>12</v>
      </c>
      <c r="B167" s="25" t="s">
        <v>71</v>
      </c>
      <c r="C167" s="25" t="s">
        <v>16</v>
      </c>
      <c r="D167" s="25" t="s">
        <v>39</v>
      </c>
      <c r="E167" s="25" t="n">
        <v>155</v>
      </c>
      <c r="F167" s="26" t="n">
        <v>18296.81</v>
      </c>
      <c r="G167" s="26" t="n">
        <v>1353.26</v>
      </c>
      <c r="H167" s="25" t="n">
        <v>346</v>
      </c>
      <c r="I167" s="26" t="n">
        <v>3293.43</v>
      </c>
      <c r="J167" s="25" t="n">
        <v>0</v>
      </c>
    </row>
    <row r="168" customFormat="false" ht="15" hidden="false" customHeight="false" outlineLevel="0" collapsed="false">
      <c r="A168" s="25" t="n">
        <v>12</v>
      </c>
      <c r="B168" s="25" t="s">
        <v>71</v>
      </c>
      <c r="C168" s="25" t="s">
        <v>16</v>
      </c>
      <c r="D168" s="25" t="s">
        <v>45</v>
      </c>
      <c r="E168" s="25" t="n">
        <v>93</v>
      </c>
      <c r="F168" s="26" t="n">
        <v>36196.89</v>
      </c>
      <c r="G168" s="26" t="n">
        <v>2123.76</v>
      </c>
      <c r="H168" s="25" t="n">
        <v>257</v>
      </c>
      <c r="I168" s="26" t="n">
        <v>3981.66</v>
      </c>
      <c r="J168" s="25" t="n">
        <v>31</v>
      </c>
    </row>
    <row r="169" customFormat="false" ht="15" hidden="false" customHeight="false" outlineLevel="0" collapsed="false">
      <c r="A169" s="25" t="n">
        <v>12</v>
      </c>
      <c r="B169" s="25" t="s">
        <v>71</v>
      </c>
      <c r="C169" s="25" t="s">
        <v>16</v>
      </c>
      <c r="D169" s="25" t="s">
        <v>51</v>
      </c>
      <c r="E169" s="25" t="n">
        <v>434</v>
      </c>
      <c r="F169" s="26" t="n">
        <v>6495.46</v>
      </c>
      <c r="G169" s="26" t="n">
        <v>693.56</v>
      </c>
      <c r="H169" s="25" t="n">
        <v>1160</v>
      </c>
      <c r="I169" s="26" t="n">
        <v>909.36</v>
      </c>
      <c r="J169" s="25" t="n">
        <v>0</v>
      </c>
    </row>
    <row r="170" customFormat="false" ht="15" hidden="false" customHeight="false" outlineLevel="0" collapsed="false">
      <c r="A170" s="25" t="n">
        <v>13</v>
      </c>
      <c r="B170" s="25" t="s">
        <v>72</v>
      </c>
      <c r="C170" s="25" t="s">
        <v>17</v>
      </c>
      <c r="D170" s="25" t="s">
        <v>39</v>
      </c>
      <c r="E170" s="25" t="n">
        <v>496</v>
      </c>
      <c r="F170" s="26" t="n">
        <v>54097.91</v>
      </c>
      <c r="G170" s="26" t="n">
        <v>4148.26</v>
      </c>
      <c r="H170" s="25" t="n">
        <v>599</v>
      </c>
      <c r="I170" s="26" t="n">
        <v>10127.13</v>
      </c>
      <c r="J170" s="25" t="n">
        <v>16</v>
      </c>
    </row>
    <row r="171" customFormat="false" ht="15" hidden="false" customHeight="false" outlineLevel="0" collapsed="false">
      <c r="A171" s="25" t="n">
        <v>13</v>
      </c>
      <c r="B171" s="25" t="s">
        <v>72</v>
      </c>
      <c r="C171" s="25" t="s">
        <v>17</v>
      </c>
      <c r="D171" s="25" t="s">
        <v>45</v>
      </c>
      <c r="E171" s="25" t="n">
        <v>93</v>
      </c>
      <c r="F171" s="26" t="n">
        <v>53532.54</v>
      </c>
      <c r="G171" s="26" t="n">
        <v>3234.22</v>
      </c>
      <c r="H171" s="25" t="n">
        <v>148</v>
      </c>
      <c r="I171" s="26" t="n">
        <v>6124.12</v>
      </c>
      <c r="J171" s="25" t="n">
        <v>0</v>
      </c>
    </row>
    <row r="172" customFormat="false" ht="15" hidden="false" customHeight="false" outlineLevel="0" collapsed="false">
      <c r="A172" s="25" t="n">
        <v>13</v>
      </c>
      <c r="B172" s="25" t="s">
        <v>72</v>
      </c>
      <c r="C172" s="25" t="s">
        <v>17</v>
      </c>
      <c r="D172" s="25" t="s">
        <v>51</v>
      </c>
      <c r="E172" s="25" t="n">
        <v>279</v>
      </c>
      <c r="F172" s="26" t="n">
        <v>4357.64</v>
      </c>
      <c r="G172" s="26" t="n">
        <v>492.25</v>
      </c>
      <c r="H172" s="25" t="n">
        <v>188</v>
      </c>
      <c r="I172" s="26" t="n">
        <v>634.47</v>
      </c>
      <c r="J172" s="25" t="n">
        <v>0</v>
      </c>
    </row>
    <row r="173" customFormat="false" ht="15" hidden="false" customHeight="false" outlineLevel="0" collapsed="false">
      <c r="A173" s="25" t="n">
        <v>13</v>
      </c>
      <c r="B173" s="25" t="s">
        <v>72</v>
      </c>
      <c r="C173" s="25" t="s">
        <v>18</v>
      </c>
      <c r="D173" s="25" t="s">
        <v>39</v>
      </c>
      <c r="E173" s="25" t="n">
        <v>124</v>
      </c>
      <c r="F173" s="26" t="n">
        <v>12087.8</v>
      </c>
      <c r="G173" s="26" t="n">
        <v>938.79</v>
      </c>
      <c r="H173" s="25" t="n">
        <v>331</v>
      </c>
      <c r="I173" s="26" t="n">
        <v>2262.84</v>
      </c>
      <c r="J173" s="25" t="n">
        <v>31</v>
      </c>
    </row>
    <row r="174" customFormat="false" ht="15" hidden="false" customHeight="false" outlineLevel="0" collapsed="false">
      <c r="A174" s="25" t="n">
        <v>13</v>
      </c>
      <c r="B174" s="25" t="s">
        <v>72</v>
      </c>
      <c r="C174" s="25" t="s">
        <v>18</v>
      </c>
      <c r="D174" s="25" t="s">
        <v>45</v>
      </c>
      <c r="E174" s="25" t="n">
        <v>279</v>
      </c>
      <c r="F174" s="26" t="n">
        <v>188269.71</v>
      </c>
      <c r="G174" s="26" t="n">
        <v>11324.89</v>
      </c>
      <c r="H174" s="25" t="n">
        <v>504</v>
      </c>
      <c r="I174" s="26" t="n">
        <v>21538.05</v>
      </c>
      <c r="J174" s="25" t="n">
        <v>0</v>
      </c>
    </row>
    <row r="175" customFormat="false" ht="15" hidden="false" customHeight="false" outlineLevel="0" collapsed="false">
      <c r="A175" s="25" t="n">
        <v>13</v>
      </c>
      <c r="B175" s="25" t="s">
        <v>72</v>
      </c>
      <c r="C175" s="25" t="s">
        <v>18</v>
      </c>
      <c r="D175" s="25" t="s">
        <v>51</v>
      </c>
      <c r="E175" s="25" t="n">
        <v>279</v>
      </c>
      <c r="F175" s="26" t="n">
        <v>4769.64</v>
      </c>
      <c r="G175" s="26" t="n">
        <v>505.37</v>
      </c>
      <c r="H175" s="25" t="n">
        <v>1155</v>
      </c>
      <c r="I175" s="26" t="n">
        <v>694.46</v>
      </c>
      <c r="J175" s="25" t="n">
        <v>31</v>
      </c>
    </row>
    <row r="176" customFormat="false" ht="15" hidden="false" customHeight="false" outlineLevel="0" collapsed="false">
      <c r="A176" s="25" t="n">
        <v>13</v>
      </c>
      <c r="B176" s="25" t="s">
        <v>72</v>
      </c>
      <c r="C176" s="25" t="s">
        <v>15</v>
      </c>
      <c r="D176" s="25" t="s">
        <v>39</v>
      </c>
      <c r="E176" s="25" t="n">
        <v>248</v>
      </c>
      <c r="F176" s="26" t="n">
        <v>24477.15</v>
      </c>
      <c r="G176" s="26" t="n">
        <v>1834.78</v>
      </c>
      <c r="H176" s="25" t="n">
        <v>265</v>
      </c>
      <c r="I176" s="26" t="n">
        <v>4582.12</v>
      </c>
      <c r="J176" s="25" t="n">
        <v>31</v>
      </c>
    </row>
    <row r="177" customFormat="false" ht="15" hidden="false" customHeight="false" outlineLevel="0" collapsed="false">
      <c r="A177" s="25" t="n">
        <v>13</v>
      </c>
      <c r="B177" s="25" t="s">
        <v>72</v>
      </c>
      <c r="C177" s="25" t="s">
        <v>15</v>
      </c>
      <c r="D177" s="25" t="s">
        <v>45</v>
      </c>
      <c r="E177" s="25" t="n">
        <v>93</v>
      </c>
      <c r="F177" s="26" t="n">
        <v>47048.41</v>
      </c>
      <c r="G177" s="26" t="n">
        <v>2629.61</v>
      </c>
      <c r="H177" s="25" t="n">
        <v>22</v>
      </c>
      <c r="I177" s="26" t="n">
        <v>5382.34</v>
      </c>
      <c r="J177" s="25" t="n">
        <v>0</v>
      </c>
    </row>
    <row r="178" customFormat="false" ht="15" hidden="false" customHeight="false" outlineLevel="0" collapsed="false">
      <c r="A178" s="25" t="n">
        <v>13</v>
      </c>
      <c r="B178" s="25" t="s">
        <v>72</v>
      </c>
      <c r="C178" s="25" t="s">
        <v>15</v>
      </c>
      <c r="D178" s="25" t="s">
        <v>51</v>
      </c>
      <c r="E178" s="25" t="n">
        <v>403</v>
      </c>
      <c r="F178" s="26" t="n">
        <v>6035.41</v>
      </c>
      <c r="G178" s="26" t="n">
        <v>668.28</v>
      </c>
      <c r="H178" s="25" t="n">
        <v>957</v>
      </c>
      <c r="I178" s="26" t="n">
        <v>878.76</v>
      </c>
      <c r="J178" s="25" t="n">
        <v>31</v>
      </c>
    </row>
    <row r="179" customFormat="false" ht="15" hidden="false" customHeight="false" outlineLevel="0" collapsed="false">
      <c r="A179" s="25" t="n">
        <v>13</v>
      </c>
      <c r="B179" s="25" t="s">
        <v>72</v>
      </c>
      <c r="C179" s="25" t="s">
        <v>19</v>
      </c>
      <c r="D179" s="25" t="s">
        <v>39</v>
      </c>
      <c r="E179" s="25" t="n">
        <v>124</v>
      </c>
      <c r="F179" s="26" t="n">
        <v>11164.87</v>
      </c>
      <c r="G179" s="26" t="n">
        <v>827.42</v>
      </c>
      <c r="H179" s="25" t="n">
        <v>1351</v>
      </c>
      <c r="I179" s="26" t="n">
        <v>2090.06</v>
      </c>
      <c r="J179" s="25" t="n">
        <v>31</v>
      </c>
    </row>
    <row r="180" customFormat="false" ht="15" hidden="false" customHeight="false" outlineLevel="0" collapsed="false">
      <c r="A180" s="25" t="n">
        <v>13</v>
      </c>
      <c r="B180" s="25" t="s">
        <v>72</v>
      </c>
      <c r="C180" s="25" t="s">
        <v>19</v>
      </c>
      <c r="D180" s="25" t="s">
        <v>51</v>
      </c>
      <c r="E180" s="25" t="n">
        <v>620</v>
      </c>
      <c r="F180" s="26" t="n">
        <v>8663.75</v>
      </c>
      <c r="G180" s="26" t="n">
        <v>966.25</v>
      </c>
      <c r="H180" s="25" t="n">
        <v>4656</v>
      </c>
      <c r="I180" s="26" t="n">
        <v>1261.44</v>
      </c>
      <c r="J180" s="25" t="n">
        <v>155</v>
      </c>
    </row>
    <row r="181" customFormat="false" ht="15" hidden="false" customHeight="false" outlineLevel="0" collapsed="false">
      <c r="A181" s="25" t="n">
        <v>13</v>
      </c>
      <c r="B181" s="25" t="s">
        <v>72</v>
      </c>
      <c r="C181" s="25" t="s">
        <v>16</v>
      </c>
      <c r="D181" s="25" t="s">
        <v>39</v>
      </c>
      <c r="E181" s="25" t="n">
        <v>155</v>
      </c>
      <c r="F181" s="26" t="n">
        <v>19903.85</v>
      </c>
      <c r="G181" s="26" t="n">
        <v>1479.76</v>
      </c>
      <c r="H181" s="25" t="n">
        <v>575</v>
      </c>
      <c r="I181" s="26" t="n">
        <v>3726</v>
      </c>
      <c r="J181" s="25" t="n">
        <v>0</v>
      </c>
    </row>
    <row r="182" customFormat="false" ht="15" hidden="false" customHeight="false" outlineLevel="0" collapsed="false">
      <c r="A182" s="25" t="n">
        <v>13</v>
      </c>
      <c r="B182" s="25" t="s">
        <v>72</v>
      </c>
      <c r="C182" s="25" t="s">
        <v>16</v>
      </c>
      <c r="D182" s="25" t="s">
        <v>45</v>
      </c>
      <c r="E182" s="25" t="n">
        <v>93</v>
      </c>
      <c r="F182" s="26" t="n">
        <v>37959.81</v>
      </c>
      <c r="G182" s="26" t="n">
        <v>2223.82</v>
      </c>
      <c r="H182" s="25" t="n">
        <v>384</v>
      </c>
      <c r="I182" s="26" t="n">
        <v>4342.6</v>
      </c>
      <c r="J182" s="25" t="n">
        <v>31</v>
      </c>
    </row>
    <row r="183" customFormat="false" ht="15" hidden="false" customHeight="false" outlineLevel="0" collapsed="false">
      <c r="A183" s="25" t="n">
        <v>13</v>
      </c>
      <c r="B183" s="25" t="s">
        <v>72</v>
      </c>
      <c r="C183" s="25" t="s">
        <v>16</v>
      </c>
      <c r="D183" s="25" t="s">
        <v>51</v>
      </c>
      <c r="E183" s="25" t="n">
        <v>434</v>
      </c>
      <c r="F183" s="26" t="n">
        <v>6780.05</v>
      </c>
      <c r="G183" s="26" t="n">
        <v>724.01</v>
      </c>
      <c r="H183" s="25" t="n">
        <v>1682</v>
      </c>
      <c r="I183" s="26" t="n">
        <v>987.18</v>
      </c>
      <c r="J183" s="25" t="n">
        <v>0</v>
      </c>
    </row>
    <row r="184" customFormat="false" ht="15" hidden="false" customHeight="false" outlineLevel="0" collapsed="false">
      <c r="A184" s="25" t="n">
        <v>14</v>
      </c>
      <c r="B184" s="25" t="s">
        <v>73</v>
      </c>
      <c r="C184" s="25" t="s">
        <v>17</v>
      </c>
      <c r="D184" s="25" t="s">
        <v>39</v>
      </c>
      <c r="E184" s="25" t="n">
        <v>464</v>
      </c>
      <c r="F184" s="26" t="n">
        <v>56158.37</v>
      </c>
      <c r="G184" s="26" t="n">
        <v>4300.3</v>
      </c>
      <c r="H184" s="25" t="n">
        <v>724</v>
      </c>
      <c r="I184" s="26" t="n">
        <v>10512.85</v>
      </c>
      <c r="J184" s="25" t="n">
        <v>0</v>
      </c>
    </row>
    <row r="185" customFormat="false" ht="15" hidden="false" customHeight="false" outlineLevel="0" collapsed="false">
      <c r="A185" s="25" t="n">
        <v>14</v>
      </c>
      <c r="B185" s="25" t="s">
        <v>73</v>
      </c>
      <c r="C185" s="25" t="s">
        <v>17</v>
      </c>
      <c r="D185" s="25" t="s">
        <v>45</v>
      </c>
      <c r="E185" s="25" t="n">
        <v>87</v>
      </c>
      <c r="F185" s="26" t="n">
        <v>56644.36</v>
      </c>
      <c r="G185" s="26" t="n">
        <v>3417.03</v>
      </c>
      <c r="H185" s="25" t="n">
        <v>44</v>
      </c>
      <c r="I185" s="26" t="n">
        <v>6480.11</v>
      </c>
      <c r="J185" s="25" t="n">
        <v>0</v>
      </c>
    </row>
    <row r="186" customFormat="false" ht="15" hidden="false" customHeight="false" outlineLevel="0" collapsed="false">
      <c r="A186" s="25" t="n">
        <v>14</v>
      </c>
      <c r="B186" s="25" t="s">
        <v>73</v>
      </c>
      <c r="C186" s="25" t="s">
        <v>17</v>
      </c>
      <c r="D186" s="25" t="s">
        <v>51</v>
      </c>
      <c r="E186" s="25" t="n">
        <v>261</v>
      </c>
      <c r="F186" s="26" t="n">
        <v>4554.72</v>
      </c>
      <c r="G186" s="26" t="n">
        <v>519.04</v>
      </c>
      <c r="H186" s="25" t="n">
        <v>125</v>
      </c>
      <c r="I186" s="26" t="n">
        <v>663.17</v>
      </c>
      <c r="J186" s="25" t="n">
        <v>0</v>
      </c>
    </row>
    <row r="187" customFormat="false" ht="15" hidden="false" customHeight="false" outlineLevel="0" collapsed="false">
      <c r="A187" s="25" t="n">
        <v>14</v>
      </c>
      <c r="B187" s="25" t="s">
        <v>73</v>
      </c>
      <c r="C187" s="25" t="s">
        <v>18</v>
      </c>
      <c r="D187" s="25" t="s">
        <v>39</v>
      </c>
      <c r="E187" s="25" t="n">
        <v>116</v>
      </c>
      <c r="F187" s="26" t="n">
        <v>12580.55</v>
      </c>
      <c r="G187" s="26" t="n">
        <v>974.04</v>
      </c>
      <c r="H187" s="25" t="n">
        <v>217</v>
      </c>
      <c r="I187" s="26" t="n">
        <v>2355.08</v>
      </c>
      <c r="J187" s="25" t="n">
        <v>29</v>
      </c>
    </row>
    <row r="188" customFormat="false" ht="15" hidden="false" customHeight="false" outlineLevel="0" collapsed="false">
      <c r="A188" s="25" t="n">
        <v>14</v>
      </c>
      <c r="B188" s="25" t="s">
        <v>73</v>
      </c>
      <c r="C188" s="25" t="s">
        <v>18</v>
      </c>
      <c r="D188" s="25" t="s">
        <v>45</v>
      </c>
      <c r="E188" s="25" t="n">
        <v>261</v>
      </c>
      <c r="F188" s="26" t="n">
        <v>193438.17</v>
      </c>
      <c r="G188" s="26" t="n">
        <v>11602.5</v>
      </c>
      <c r="H188" s="25" t="n">
        <v>626</v>
      </c>
      <c r="I188" s="26" t="n">
        <v>22129.33</v>
      </c>
      <c r="J188" s="25" t="n">
        <v>0</v>
      </c>
    </row>
    <row r="189" customFormat="false" ht="15" hidden="false" customHeight="false" outlineLevel="0" collapsed="false">
      <c r="A189" s="25" t="n">
        <v>14</v>
      </c>
      <c r="B189" s="25" t="s">
        <v>73</v>
      </c>
      <c r="C189" s="25" t="s">
        <v>18</v>
      </c>
      <c r="D189" s="25" t="s">
        <v>51</v>
      </c>
      <c r="E189" s="25" t="n">
        <v>261</v>
      </c>
      <c r="F189" s="26" t="n">
        <v>4980.65</v>
      </c>
      <c r="G189" s="26" t="n">
        <v>528.71</v>
      </c>
      <c r="H189" s="25" t="n">
        <v>288</v>
      </c>
      <c r="I189" s="26" t="n">
        <v>725.18</v>
      </c>
      <c r="J189" s="25" t="n">
        <v>29</v>
      </c>
    </row>
    <row r="190" customFormat="false" ht="15" hidden="false" customHeight="false" outlineLevel="0" collapsed="false">
      <c r="A190" s="25" t="n">
        <v>14</v>
      </c>
      <c r="B190" s="25" t="s">
        <v>73</v>
      </c>
      <c r="C190" s="25" t="s">
        <v>15</v>
      </c>
      <c r="D190" s="25" t="s">
        <v>39</v>
      </c>
      <c r="E190" s="25" t="n">
        <v>232</v>
      </c>
      <c r="F190" s="26" t="n">
        <v>25493.28</v>
      </c>
      <c r="G190" s="26" t="n">
        <v>1904.32</v>
      </c>
      <c r="H190" s="25" t="n">
        <v>226</v>
      </c>
      <c r="I190" s="26" t="n">
        <v>4772.34</v>
      </c>
      <c r="J190" s="25" t="n">
        <v>29</v>
      </c>
    </row>
    <row r="191" customFormat="false" ht="15" hidden="false" customHeight="false" outlineLevel="0" collapsed="false">
      <c r="A191" s="25" t="n">
        <v>14</v>
      </c>
      <c r="B191" s="25" t="s">
        <v>73</v>
      </c>
      <c r="C191" s="25" t="s">
        <v>15</v>
      </c>
      <c r="D191" s="25" t="s">
        <v>45</v>
      </c>
      <c r="E191" s="25" t="n">
        <v>87</v>
      </c>
      <c r="F191" s="26" t="n">
        <v>48820.8</v>
      </c>
      <c r="G191" s="26" t="n">
        <v>2732.86</v>
      </c>
      <c r="H191" s="25" t="n">
        <v>59</v>
      </c>
      <c r="I191" s="26" t="n">
        <v>5585.1</v>
      </c>
      <c r="J191" s="25" t="n">
        <v>0</v>
      </c>
    </row>
    <row r="192" customFormat="false" ht="15" hidden="false" customHeight="false" outlineLevel="0" collapsed="false">
      <c r="A192" s="25" t="n">
        <v>14</v>
      </c>
      <c r="B192" s="25" t="s">
        <v>73</v>
      </c>
      <c r="C192" s="25" t="s">
        <v>15</v>
      </c>
      <c r="D192" s="25" t="s">
        <v>51</v>
      </c>
      <c r="E192" s="25" t="n">
        <v>377</v>
      </c>
      <c r="F192" s="26" t="n">
        <v>6194.46</v>
      </c>
      <c r="G192" s="26" t="n">
        <v>687.68</v>
      </c>
      <c r="H192" s="25" t="n">
        <v>518</v>
      </c>
      <c r="I192" s="26" t="n">
        <v>901.91</v>
      </c>
      <c r="J192" s="25" t="n">
        <v>29</v>
      </c>
    </row>
    <row r="193" customFormat="false" ht="15" hidden="false" customHeight="false" outlineLevel="0" collapsed="false">
      <c r="A193" s="25" t="n">
        <v>14</v>
      </c>
      <c r="B193" s="25" t="s">
        <v>73</v>
      </c>
      <c r="C193" s="25" t="s">
        <v>19</v>
      </c>
      <c r="D193" s="25" t="s">
        <v>39</v>
      </c>
      <c r="E193" s="25" t="n">
        <v>116</v>
      </c>
      <c r="F193" s="26" t="n">
        <v>11889.19</v>
      </c>
      <c r="G193" s="26" t="n">
        <v>888.74</v>
      </c>
      <c r="H193" s="25" t="n">
        <v>482</v>
      </c>
      <c r="I193" s="26" t="n">
        <v>2225.66</v>
      </c>
      <c r="J193" s="25" t="n">
        <v>29</v>
      </c>
    </row>
    <row r="194" customFormat="false" ht="15" hidden="false" customHeight="false" outlineLevel="0" collapsed="false">
      <c r="A194" s="25" t="n">
        <v>14</v>
      </c>
      <c r="B194" s="25" t="s">
        <v>73</v>
      </c>
      <c r="C194" s="25" t="s">
        <v>19</v>
      </c>
      <c r="D194" s="25" t="s">
        <v>51</v>
      </c>
      <c r="E194" s="25" t="n">
        <v>580</v>
      </c>
      <c r="F194" s="26" t="n">
        <v>9041.55</v>
      </c>
      <c r="G194" s="26" t="n">
        <v>1006.03</v>
      </c>
      <c r="H194" s="25" t="n">
        <v>4115</v>
      </c>
      <c r="I194" s="26" t="n">
        <v>1316.45</v>
      </c>
      <c r="J194" s="25" t="n">
        <v>164</v>
      </c>
    </row>
    <row r="195" customFormat="false" ht="15" hidden="false" customHeight="false" outlineLevel="0" collapsed="false">
      <c r="A195" s="25" t="n">
        <v>14</v>
      </c>
      <c r="B195" s="25" t="s">
        <v>73</v>
      </c>
      <c r="C195" s="25" t="s">
        <v>16</v>
      </c>
      <c r="D195" s="25" t="s">
        <v>39</v>
      </c>
      <c r="E195" s="25" t="n">
        <v>145</v>
      </c>
      <c r="F195" s="26" t="n">
        <v>20138.65</v>
      </c>
      <c r="G195" s="26" t="n">
        <v>1490.48</v>
      </c>
      <c r="H195" s="25" t="n">
        <v>372</v>
      </c>
      <c r="I195" s="26" t="n">
        <v>3769.96</v>
      </c>
      <c r="J195" s="25" t="n">
        <v>0</v>
      </c>
    </row>
    <row r="196" customFormat="false" ht="15" hidden="false" customHeight="false" outlineLevel="0" collapsed="false">
      <c r="A196" s="25" t="n">
        <v>14</v>
      </c>
      <c r="B196" s="25" t="s">
        <v>73</v>
      </c>
      <c r="C196" s="25" t="s">
        <v>16</v>
      </c>
      <c r="D196" s="25" t="s">
        <v>45</v>
      </c>
      <c r="E196" s="25" t="n">
        <v>87</v>
      </c>
      <c r="F196" s="26" t="n">
        <v>38625.87</v>
      </c>
      <c r="G196" s="26" t="n">
        <v>2289.34</v>
      </c>
      <c r="H196" s="25" t="n">
        <v>257</v>
      </c>
      <c r="I196" s="26" t="n">
        <v>4418.8</v>
      </c>
      <c r="J196" s="25" t="n">
        <v>29</v>
      </c>
    </row>
    <row r="197" customFormat="false" ht="15" hidden="false" customHeight="false" outlineLevel="0" collapsed="false">
      <c r="A197" s="25" t="n">
        <v>14</v>
      </c>
      <c r="B197" s="25" t="s">
        <v>73</v>
      </c>
      <c r="C197" s="25" t="s">
        <v>16</v>
      </c>
      <c r="D197" s="25" t="s">
        <v>51</v>
      </c>
      <c r="E197" s="25" t="n">
        <v>406</v>
      </c>
      <c r="F197" s="26" t="n">
        <v>7039.71</v>
      </c>
      <c r="G197" s="26" t="n">
        <v>751.02</v>
      </c>
      <c r="H197" s="25" t="n">
        <v>1160</v>
      </c>
      <c r="I197" s="26" t="n">
        <v>1024.98</v>
      </c>
      <c r="J197" s="25" t="n">
        <v>0</v>
      </c>
    </row>
    <row r="198" customFormat="false" ht="15" hidden="false" customHeight="false" outlineLevel="0" collapsed="false">
      <c r="A198" s="25" t="n">
        <v>15</v>
      </c>
      <c r="B198" s="25" t="s">
        <v>74</v>
      </c>
      <c r="C198" s="25" t="s">
        <v>17</v>
      </c>
      <c r="D198" s="25" t="s">
        <v>39</v>
      </c>
      <c r="E198" s="25" t="n">
        <v>496</v>
      </c>
      <c r="F198" s="26" t="n">
        <v>66170.96</v>
      </c>
      <c r="G198" s="26" t="n">
        <v>5062.75</v>
      </c>
      <c r="H198" s="25" t="n">
        <v>473</v>
      </c>
      <c r="I198" s="26" t="n">
        <v>12387.2</v>
      </c>
      <c r="J198" s="25" t="n">
        <v>0</v>
      </c>
    </row>
    <row r="199" customFormat="false" ht="15" hidden="false" customHeight="false" outlineLevel="0" collapsed="false">
      <c r="A199" s="25" t="n">
        <v>15</v>
      </c>
      <c r="B199" s="25" t="s">
        <v>74</v>
      </c>
      <c r="C199" s="25" t="s">
        <v>17</v>
      </c>
      <c r="D199" s="25" t="s">
        <v>45</v>
      </c>
      <c r="E199" s="25" t="n">
        <v>93</v>
      </c>
      <c r="F199" s="26" t="n">
        <v>67764.66</v>
      </c>
      <c r="G199" s="26" t="n">
        <v>4101.18</v>
      </c>
      <c r="H199" s="25" t="n">
        <v>72</v>
      </c>
      <c r="I199" s="26" t="n">
        <v>7752.28</v>
      </c>
      <c r="J199" s="25" t="n">
        <v>0</v>
      </c>
    </row>
    <row r="200" customFormat="false" ht="15" hidden="false" customHeight="false" outlineLevel="0" collapsed="false">
      <c r="A200" s="25" t="n">
        <v>15</v>
      </c>
      <c r="B200" s="25" t="s">
        <v>74</v>
      </c>
      <c r="C200" s="25" t="s">
        <v>17</v>
      </c>
      <c r="D200" s="25" t="s">
        <v>51</v>
      </c>
      <c r="E200" s="25" t="n">
        <v>279</v>
      </c>
      <c r="F200" s="26" t="n">
        <v>5512.08</v>
      </c>
      <c r="G200" s="26" t="n">
        <v>626.42</v>
      </c>
      <c r="H200" s="25" t="n">
        <v>895</v>
      </c>
      <c r="I200" s="26" t="n">
        <v>802.56</v>
      </c>
      <c r="J200" s="25" t="n">
        <v>0</v>
      </c>
    </row>
    <row r="201" customFormat="false" ht="15" hidden="false" customHeight="false" outlineLevel="0" collapsed="false">
      <c r="A201" s="25" t="n">
        <v>15</v>
      </c>
      <c r="B201" s="25" t="s">
        <v>74</v>
      </c>
      <c r="C201" s="25" t="s">
        <v>18</v>
      </c>
      <c r="D201" s="25" t="s">
        <v>39</v>
      </c>
      <c r="E201" s="25" t="n">
        <v>124</v>
      </c>
      <c r="F201" s="26" t="n">
        <v>14835.72</v>
      </c>
      <c r="G201" s="26" t="n">
        <v>1143.5</v>
      </c>
      <c r="H201" s="25" t="n">
        <v>139</v>
      </c>
      <c r="I201" s="26" t="n">
        <v>2777.25</v>
      </c>
      <c r="J201" s="25" t="n">
        <v>31</v>
      </c>
    </row>
    <row r="202" customFormat="false" ht="15" hidden="false" customHeight="false" outlineLevel="0" collapsed="false">
      <c r="A202" s="25" t="n">
        <v>15</v>
      </c>
      <c r="B202" s="25" t="s">
        <v>74</v>
      </c>
      <c r="C202" s="25" t="s">
        <v>18</v>
      </c>
      <c r="D202" s="25" t="s">
        <v>45</v>
      </c>
      <c r="E202" s="25" t="n">
        <v>279</v>
      </c>
      <c r="F202" s="26" t="n">
        <v>232467.05</v>
      </c>
      <c r="G202" s="26" t="n">
        <v>13934.84</v>
      </c>
      <c r="H202" s="25" t="n">
        <v>880</v>
      </c>
      <c r="I202" s="26" t="n">
        <v>26594.23</v>
      </c>
      <c r="J202" s="25" t="n">
        <v>0</v>
      </c>
    </row>
    <row r="203" customFormat="false" ht="15" hidden="false" customHeight="false" outlineLevel="0" collapsed="false">
      <c r="A203" s="25" t="n">
        <v>15</v>
      </c>
      <c r="B203" s="25" t="s">
        <v>74</v>
      </c>
      <c r="C203" s="25" t="s">
        <v>18</v>
      </c>
      <c r="D203" s="25" t="s">
        <v>51</v>
      </c>
      <c r="E203" s="25" t="n">
        <v>279</v>
      </c>
      <c r="F203" s="26" t="n">
        <v>6139.9</v>
      </c>
      <c r="G203" s="26" t="n">
        <v>647.02</v>
      </c>
      <c r="H203" s="25" t="n">
        <v>1015</v>
      </c>
      <c r="I203" s="26" t="n">
        <v>893.97</v>
      </c>
      <c r="J203" s="25" t="n">
        <v>31</v>
      </c>
    </row>
    <row r="204" customFormat="false" ht="15" hidden="false" customHeight="false" outlineLevel="0" collapsed="false">
      <c r="A204" s="25" t="n">
        <v>15</v>
      </c>
      <c r="B204" s="25" t="s">
        <v>74</v>
      </c>
      <c r="C204" s="25" t="s">
        <v>15</v>
      </c>
      <c r="D204" s="25" t="s">
        <v>39</v>
      </c>
      <c r="E204" s="25" t="n">
        <v>248</v>
      </c>
      <c r="F204" s="26" t="n">
        <v>29962</v>
      </c>
      <c r="G204" s="26" t="n">
        <v>2257.25</v>
      </c>
      <c r="H204" s="25" t="n">
        <v>332</v>
      </c>
      <c r="I204" s="26" t="n">
        <v>5608.89</v>
      </c>
      <c r="J204" s="25" t="n">
        <v>31</v>
      </c>
    </row>
    <row r="205" customFormat="false" ht="15" hidden="false" customHeight="false" outlineLevel="0" collapsed="false">
      <c r="A205" s="25" t="n">
        <v>15</v>
      </c>
      <c r="B205" s="25" t="s">
        <v>74</v>
      </c>
      <c r="C205" s="25" t="s">
        <v>15</v>
      </c>
      <c r="D205" s="25" t="s">
        <v>45</v>
      </c>
      <c r="E205" s="25" t="n">
        <v>93</v>
      </c>
      <c r="F205" s="26" t="n">
        <v>59223.21</v>
      </c>
      <c r="G205" s="26" t="n">
        <v>3317.61</v>
      </c>
      <c r="H205" s="25" t="n">
        <v>417</v>
      </c>
      <c r="I205" s="26" t="n">
        <v>6775.14</v>
      </c>
      <c r="J205" s="25" t="n">
        <v>0</v>
      </c>
    </row>
    <row r="206" customFormat="false" ht="15" hidden="false" customHeight="false" outlineLevel="0" collapsed="false">
      <c r="A206" s="25" t="n">
        <v>15</v>
      </c>
      <c r="B206" s="25" t="s">
        <v>74</v>
      </c>
      <c r="C206" s="25" t="s">
        <v>15</v>
      </c>
      <c r="D206" s="25" t="s">
        <v>51</v>
      </c>
      <c r="E206" s="25" t="n">
        <v>403</v>
      </c>
      <c r="F206" s="26" t="n">
        <v>7618.9</v>
      </c>
      <c r="G206" s="26" t="n">
        <v>840.3</v>
      </c>
      <c r="H206" s="25" t="n">
        <v>925</v>
      </c>
      <c r="I206" s="26" t="n">
        <v>1109.31</v>
      </c>
      <c r="J206" s="25" t="n">
        <v>31</v>
      </c>
    </row>
    <row r="207" customFormat="false" ht="15" hidden="false" customHeight="false" outlineLevel="0" collapsed="false">
      <c r="A207" s="25" t="n">
        <v>15</v>
      </c>
      <c r="B207" s="25" t="s">
        <v>74</v>
      </c>
      <c r="C207" s="25" t="s">
        <v>19</v>
      </c>
      <c r="D207" s="25" t="s">
        <v>39</v>
      </c>
      <c r="E207" s="25" t="n">
        <v>124</v>
      </c>
      <c r="F207" s="26" t="n">
        <v>13807.67</v>
      </c>
      <c r="G207" s="26" t="n">
        <v>1031.04</v>
      </c>
      <c r="H207" s="25" t="n">
        <v>663</v>
      </c>
      <c r="I207" s="26" t="n">
        <v>2584.8</v>
      </c>
      <c r="J207" s="25" t="n">
        <v>31</v>
      </c>
    </row>
    <row r="208" customFormat="false" ht="15" hidden="false" customHeight="false" outlineLevel="0" collapsed="false">
      <c r="A208" s="25" t="n">
        <v>15</v>
      </c>
      <c r="B208" s="25" t="s">
        <v>74</v>
      </c>
      <c r="C208" s="25" t="s">
        <v>19</v>
      </c>
      <c r="D208" s="25" t="s">
        <v>51</v>
      </c>
      <c r="E208" s="25" t="n">
        <v>620</v>
      </c>
      <c r="F208" s="26" t="n">
        <v>11090.8</v>
      </c>
      <c r="G208" s="26" t="n">
        <v>1234.81</v>
      </c>
      <c r="H208" s="25" t="n">
        <v>4551</v>
      </c>
      <c r="I208" s="26" t="n">
        <v>1614.82</v>
      </c>
      <c r="J208" s="25" t="n">
        <v>182</v>
      </c>
    </row>
    <row r="209" customFormat="false" ht="15" hidden="false" customHeight="false" outlineLevel="0" collapsed="false">
      <c r="A209" s="25" t="n">
        <v>15</v>
      </c>
      <c r="B209" s="25" t="s">
        <v>74</v>
      </c>
      <c r="C209" s="25" t="s">
        <v>16</v>
      </c>
      <c r="D209" s="25" t="s">
        <v>39</v>
      </c>
      <c r="E209" s="25" t="n">
        <v>155</v>
      </c>
      <c r="F209" s="26" t="n">
        <v>24429.18</v>
      </c>
      <c r="G209" s="26" t="n">
        <v>1791.34</v>
      </c>
      <c r="H209" s="25" t="n">
        <v>198</v>
      </c>
      <c r="I209" s="26" t="n">
        <v>4573.14</v>
      </c>
      <c r="J209" s="25" t="n">
        <v>0</v>
      </c>
    </row>
    <row r="210" customFormat="false" ht="15" hidden="false" customHeight="false" outlineLevel="0" collapsed="false">
      <c r="A210" s="25" t="n">
        <v>15</v>
      </c>
      <c r="B210" s="25" t="s">
        <v>74</v>
      </c>
      <c r="C210" s="25" t="s">
        <v>16</v>
      </c>
      <c r="D210" s="25" t="s">
        <v>45</v>
      </c>
      <c r="E210" s="25" t="n">
        <v>93</v>
      </c>
      <c r="F210" s="26" t="n">
        <v>47720</v>
      </c>
      <c r="G210" s="26" t="n">
        <v>2808.95</v>
      </c>
      <c r="H210" s="25" t="n">
        <v>355</v>
      </c>
      <c r="I210" s="26" t="n">
        <v>5459.17</v>
      </c>
      <c r="J210" s="25" t="n">
        <v>31</v>
      </c>
    </row>
    <row r="211" customFormat="false" ht="15" hidden="false" customHeight="false" outlineLevel="0" collapsed="false">
      <c r="A211" s="25" t="n">
        <v>15</v>
      </c>
      <c r="B211" s="25" t="s">
        <v>74</v>
      </c>
      <c r="C211" s="25" t="s">
        <v>16</v>
      </c>
      <c r="D211" s="25" t="s">
        <v>51</v>
      </c>
      <c r="E211" s="25" t="n">
        <v>434</v>
      </c>
      <c r="F211" s="26" t="n">
        <v>8535.8</v>
      </c>
      <c r="G211" s="26" t="n">
        <v>912.21</v>
      </c>
      <c r="H211" s="25" t="n">
        <v>983</v>
      </c>
      <c r="I211" s="26" t="n">
        <v>1242.81</v>
      </c>
      <c r="J211" s="25" t="n">
        <v>0</v>
      </c>
    </row>
    <row r="212" customFormat="false" ht="15" hidden="false" customHeight="false" outlineLevel="0" collapsed="false">
      <c r="A212" s="25" t="n">
        <v>16</v>
      </c>
      <c r="B212" s="25" t="s">
        <v>75</v>
      </c>
      <c r="C212" s="25" t="s">
        <v>17</v>
      </c>
      <c r="D212" s="25" t="s">
        <v>39</v>
      </c>
      <c r="E212" s="25" t="n">
        <v>480</v>
      </c>
      <c r="F212" s="26" t="n">
        <v>73292.3</v>
      </c>
      <c r="G212" s="26" t="n">
        <v>5616.29</v>
      </c>
      <c r="H212" s="25" t="n">
        <v>922</v>
      </c>
      <c r="I212" s="26" t="n">
        <v>14819.7</v>
      </c>
      <c r="J212" s="25" t="n">
        <v>42</v>
      </c>
    </row>
    <row r="213" customFormat="false" ht="15" hidden="false" customHeight="false" outlineLevel="0" collapsed="false">
      <c r="A213" s="25" t="n">
        <v>16</v>
      </c>
      <c r="B213" s="25" t="s">
        <v>75</v>
      </c>
      <c r="C213" s="25" t="s">
        <v>17</v>
      </c>
      <c r="D213" s="25" t="s">
        <v>45</v>
      </c>
      <c r="E213" s="25" t="n">
        <v>90</v>
      </c>
      <c r="F213" s="26" t="n">
        <v>75018.84</v>
      </c>
      <c r="G213" s="26" t="n">
        <v>4527.05</v>
      </c>
      <c r="H213" s="25" t="n">
        <v>0</v>
      </c>
      <c r="I213" s="26" t="n">
        <v>9272.33</v>
      </c>
      <c r="J213" s="25" t="n">
        <v>0</v>
      </c>
    </row>
    <row r="214" customFormat="false" ht="15" hidden="false" customHeight="false" outlineLevel="0" collapsed="false">
      <c r="A214" s="25" t="n">
        <v>16</v>
      </c>
      <c r="B214" s="25" t="s">
        <v>75</v>
      </c>
      <c r="C214" s="25" t="s">
        <v>17</v>
      </c>
      <c r="D214" s="25" t="s">
        <v>51</v>
      </c>
      <c r="E214" s="25" t="n">
        <v>270</v>
      </c>
      <c r="F214" s="26" t="n">
        <v>6040.05</v>
      </c>
      <c r="G214" s="26" t="n">
        <v>685.29</v>
      </c>
      <c r="H214" s="25" t="n">
        <v>118</v>
      </c>
      <c r="I214" s="26" t="n">
        <v>949.5</v>
      </c>
      <c r="J214" s="25" t="n">
        <v>0</v>
      </c>
    </row>
    <row r="215" customFormat="false" ht="15" hidden="false" customHeight="false" outlineLevel="0" collapsed="false">
      <c r="A215" s="25" t="n">
        <v>16</v>
      </c>
      <c r="B215" s="25" t="s">
        <v>75</v>
      </c>
      <c r="C215" s="25" t="s">
        <v>18</v>
      </c>
      <c r="D215" s="25" t="s">
        <v>39</v>
      </c>
      <c r="E215" s="25" t="n">
        <v>120</v>
      </c>
      <c r="F215" s="26" t="n">
        <v>16364.35</v>
      </c>
      <c r="G215" s="26" t="n">
        <v>1267.85</v>
      </c>
      <c r="H215" s="25" t="n">
        <v>166</v>
      </c>
      <c r="I215" s="26" t="n">
        <v>3308.87</v>
      </c>
      <c r="J215" s="25" t="n">
        <v>43</v>
      </c>
    </row>
    <row r="216" customFormat="false" ht="15" hidden="false" customHeight="false" outlineLevel="0" collapsed="false">
      <c r="A216" s="25" t="n">
        <v>16</v>
      </c>
      <c r="B216" s="25" t="s">
        <v>75</v>
      </c>
      <c r="C216" s="25" t="s">
        <v>18</v>
      </c>
      <c r="D216" s="25" t="s">
        <v>45</v>
      </c>
      <c r="E216" s="25" t="n">
        <v>270</v>
      </c>
      <c r="F216" s="26" t="n">
        <v>258107.78</v>
      </c>
      <c r="G216" s="26" t="n">
        <v>15538.24</v>
      </c>
      <c r="H216" s="25" t="n">
        <v>932</v>
      </c>
      <c r="I216" s="26" t="n">
        <v>31902.12</v>
      </c>
      <c r="J216" s="25" t="n">
        <v>0</v>
      </c>
    </row>
    <row r="217" customFormat="false" ht="15" hidden="false" customHeight="false" outlineLevel="0" collapsed="false">
      <c r="A217" s="25" t="n">
        <v>16</v>
      </c>
      <c r="B217" s="25" t="s">
        <v>75</v>
      </c>
      <c r="C217" s="25" t="s">
        <v>18</v>
      </c>
      <c r="D217" s="25" t="s">
        <v>51</v>
      </c>
      <c r="E217" s="25" t="n">
        <v>270</v>
      </c>
      <c r="F217" s="26" t="n">
        <v>6680.7</v>
      </c>
      <c r="G217" s="26" t="n">
        <v>707.45</v>
      </c>
      <c r="H217" s="25" t="n">
        <v>425</v>
      </c>
      <c r="I217" s="26" t="n">
        <v>1050.21</v>
      </c>
      <c r="J217" s="25" t="n">
        <v>30</v>
      </c>
    </row>
    <row r="218" customFormat="false" ht="15" hidden="false" customHeight="false" outlineLevel="0" collapsed="false">
      <c r="A218" s="25" t="n">
        <v>16</v>
      </c>
      <c r="B218" s="25" t="s">
        <v>75</v>
      </c>
      <c r="C218" s="25" t="s">
        <v>15</v>
      </c>
      <c r="D218" s="25" t="s">
        <v>39</v>
      </c>
      <c r="E218" s="25" t="n">
        <v>240</v>
      </c>
      <c r="F218" s="26" t="n">
        <v>33833.69</v>
      </c>
      <c r="G218" s="26" t="n">
        <v>2520.3</v>
      </c>
      <c r="H218" s="25" t="n">
        <v>784</v>
      </c>
      <c r="I218" s="26" t="n">
        <v>6841.17</v>
      </c>
      <c r="J218" s="25" t="n">
        <v>49</v>
      </c>
    </row>
    <row r="219" customFormat="false" ht="15" hidden="false" customHeight="false" outlineLevel="0" collapsed="false">
      <c r="A219" s="25" t="n">
        <v>16</v>
      </c>
      <c r="B219" s="25" t="s">
        <v>75</v>
      </c>
      <c r="C219" s="25" t="s">
        <v>15</v>
      </c>
      <c r="D219" s="25" t="s">
        <v>45</v>
      </c>
      <c r="E219" s="25" t="n">
        <v>90</v>
      </c>
      <c r="F219" s="26" t="n">
        <v>64958.84</v>
      </c>
      <c r="G219" s="26" t="n">
        <v>3647.86</v>
      </c>
      <c r="H219" s="25" t="n">
        <v>222</v>
      </c>
      <c r="I219" s="26" t="n">
        <v>8028.91</v>
      </c>
      <c r="J219" s="25" t="n">
        <v>0</v>
      </c>
    </row>
    <row r="220" customFormat="false" ht="15" hidden="false" customHeight="false" outlineLevel="0" collapsed="false">
      <c r="A220" s="25" t="n">
        <v>16</v>
      </c>
      <c r="B220" s="25" t="s">
        <v>75</v>
      </c>
      <c r="C220" s="25" t="s">
        <v>15</v>
      </c>
      <c r="D220" s="25" t="s">
        <v>51</v>
      </c>
      <c r="E220" s="25" t="n">
        <v>390</v>
      </c>
      <c r="F220" s="26" t="n">
        <v>8292.79</v>
      </c>
      <c r="G220" s="26" t="n">
        <v>915.56</v>
      </c>
      <c r="H220" s="25" t="n">
        <v>693</v>
      </c>
      <c r="I220" s="26" t="n">
        <v>1303.63</v>
      </c>
      <c r="J220" s="25" t="n">
        <v>30</v>
      </c>
    </row>
    <row r="221" customFormat="false" ht="15" hidden="false" customHeight="false" outlineLevel="0" collapsed="false">
      <c r="A221" s="25" t="n">
        <v>16</v>
      </c>
      <c r="B221" s="25" t="s">
        <v>75</v>
      </c>
      <c r="C221" s="25" t="s">
        <v>19</v>
      </c>
      <c r="D221" s="25" t="s">
        <v>39</v>
      </c>
      <c r="E221" s="25" t="n">
        <v>120</v>
      </c>
      <c r="F221" s="26" t="n">
        <v>15678.21</v>
      </c>
      <c r="G221" s="26" t="n">
        <v>1158.43</v>
      </c>
      <c r="H221" s="25" t="n">
        <v>964</v>
      </c>
      <c r="I221" s="26" t="n">
        <v>3170.13</v>
      </c>
      <c r="J221" s="25" t="n">
        <v>30</v>
      </c>
    </row>
    <row r="222" customFormat="false" ht="15" hidden="false" customHeight="false" outlineLevel="0" collapsed="false">
      <c r="A222" s="25" t="n">
        <v>16</v>
      </c>
      <c r="B222" s="25" t="s">
        <v>75</v>
      </c>
      <c r="C222" s="25" t="s">
        <v>19</v>
      </c>
      <c r="D222" s="25" t="s">
        <v>51</v>
      </c>
      <c r="E222" s="25" t="n">
        <v>600</v>
      </c>
      <c r="F222" s="26" t="n">
        <v>12045.62</v>
      </c>
      <c r="G222" s="26" t="n">
        <v>1340.68</v>
      </c>
      <c r="H222" s="25" t="n">
        <v>4142</v>
      </c>
      <c r="I222" s="26" t="n">
        <v>1893.57</v>
      </c>
      <c r="J222" s="25" t="n">
        <v>150</v>
      </c>
    </row>
    <row r="223" customFormat="false" ht="15" hidden="false" customHeight="false" outlineLevel="0" collapsed="false">
      <c r="A223" s="25" t="n">
        <v>16</v>
      </c>
      <c r="B223" s="25" t="s">
        <v>75</v>
      </c>
      <c r="C223" s="25" t="s">
        <v>16</v>
      </c>
      <c r="D223" s="25" t="s">
        <v>39</v>
      </c>
      <c r="E223" s="25" t="n">
        <v>150</v>
      </c>
      <c r="F223" s="26" t="n">
        <v>26420.12</v>
      </c>
      <c r="G223" s="26" t="n">
        <v>1949.47</v>
      </c>
      <c r="H223" s="25" t="n">
        <v>472</v>
      </c>
      <c r="I223" s="26" t="n">
        <v>5342.15</v>
      </c>
      <c r="J223" s="25" t="n">
        <v>0</v>
      </c>
    </row>
    <row r="224" customFormat="false" ht="15" hidden="false" customHeight="false" outlineLevel="0" collapsed="false">
      <c r="A224" s="25" t="n">
        <v>16</v>
      </c>
      <c r="B224" s="25" t="s">
        <v>75</v>
      </c>
      <c r="C224" s="25" t="s">
        <v>16</v>
      </c>
      <c r="D224" s="25" t="s">
        <v>45</v>
      </c>
      <c r="E224" s="25" t="n">
        <v>90</v>
      </c>
      <c r="F224" s="26" t="n">
        <v>52270.82</v>
      </c>
      <c r="G224" s="26" t="n">
        <v>3077.66</v>
      </c>
      <c r="H224" s="25" t="n">
        <v>153</v>
      </c>
      <c r="I224" s="26" t="n">
        <v>6460.67</v>
      </c>
      <c r="J224" s="25" t="n">
        <v>30</v>
      </c>
    </row>
    <row r="225" customFormat="false" ht="15" hidden="false" customHeight="false" outlineLevel="0" collapsed="false">
      <c r="A225" s="25" t="n">
        <v>16</v>
      </c>
      <c r="B225" s="25" t="s">
        <v>75</v>
      </c>
      <c r="C225" s="25" t="s">
        <v>16</v>
      </c>
      <c r="D225" s="25" t="s">
        <v>51</v>
      </c>
      <c r="E225" s="25" t="n">
        <v>420</v>
      </c>
      <c r="F225" s="26" t="n">
        <v>9345.86</v>
      </c>
      <c r="G225" s="26" t="n">
        <v>994.92</v>
      </c>
      <c r="H225" s="25" t="n">
        <v>925</v>
      </c>
      <c r="I225" s="26" t="n">
        <v>1469.17</v>
      </c>
      <c r="J225" s="25" t="n">
        <v>0</v>
      </c>
    </row>
    <row r="226" customFormat="false" ht="15" hidden="false" customHeight="false" outlineLevel="0" collapsed="false">
      <c r="A226" s="25" t="n">
        <v>17</v>
      </c>
      <c r="B226" s="25" t="s">
        <v>76</v>
      </c>
      <c r="C226" s="25" t="s">
        <v>17</v>
      </c>
      <c r="D226" s="25" t="s">
        <v>39</v>
      </c>
      <c r="E226" s="25" t="n">
        <v>496</v>
      </c>
      <c r="F226" s="26" t="n">
        <v>83100.38</v>
      </c>
      <c r="G226" s="26" t="n">
        <v>6376.69</v>
      </c>
      <c r="H226" s="25" t="n">
        <v>630</v>
      </c>
      <c r="I226" s="26" t="n">
        <v>16802.9</v>
      </c>
      <c r="J226" s="25" t="n">
        <v>42</v>
      </c>
    </row>
    <row r="227" customFormat="false" ht="15" hidden="false" customHeight="false" outlineLevel="0" collapsed="false">
      <c r="A227" s="25" t="n">
        <v>17</v>
      </c>
      <c r="B227" s="25" t="s">
        <v>76</v>
      </c>
      <c r="C227" s="25" t="s">
        <v>17</v>
      </c>
      <c r="D227" s="25" t="s">
        <v>45</v>
      </c>
      <c r="E227" s="25" t="n">
        <v>93</v>
      </c>
      <c r="F227" s="26" t="n">
        <v>82949.58</v>
      </c>
      <c r="G227" s="26" t="n">
        <v>5044.22</v>
      </c>
      <c r="H227" s="25" t="n">
        <v>63</v>
      </c>
      <c r="I227" s="26" t="n">
        <v>10252.57</v>
      </c>
      <c r="J227" s="25" t="n">
        <v>0</v>
      </c>
    </row>
    <row r="228" customFormat="false" ht="15" hidden="false" customHeight="false" outlineLevel="0" collapsed="false">
      <c r="A228" s="25" t="n">
        <v>17</v>
      </c>
      <c r="B228" s="25" t="s">
        <v>76</v>
      </c>
      <c r="C228" s="25" t="s">
        <v>17</v>
      </c>
      <c r="D228" s="25" t="s">
        <v>51</v>
      </c>
      <c r="E228" s="25" t="n">
        <v>279</v>
      </c>
      <c r="F228" s="26" t="n">
        <v>6828.75</v>
      </c>
      <c r="G228" s="26" t="n">
        <v>773.71</v>
      </c>
      <c r="H228" s="25" t="n">
        <v>367</v>
      </c>
      <c r="I228" s="26" t="n">
        <v>1073.48</v>
      </c>
      <c r="J228" s="25" t="n">
        <v>0</v>
      </c>
    </row>
    <row r="229" customFormat="false" ht="15" hidden="false" customHeight="false" outlineLevel="0" collapsed="false">
      <c r="A229" s="25" t="n">
        <v>17</v>
      </c>
      <c r="B229" s="25" t="s">
        <v>76</v>
      </c>
      <c r="C229" s="25" t="s">
        <v>18</v>
      </c>
      <c r="D229" s="25" t="s">
        <v>39</v>
      </c>
      <c r="E229" s="25" t="n">
        <v>124</v>
      </c>
      <c r="F229" s="26" t="n">
        <v>18000</v>
      </c>
      <c r="G229" s="26" t="n">
        <v>1387.59</v>
      </c>
      <c r="H229" s="25" t="n">
        <v>463</v>
      </c>
      <c r="I229" s="26" t="n">
        <v>3639.6</v>
      </c>
      <c r="J229" s="25" t="n">
        <v>62</v>
      </c>
    </row>
    <row r="230" customFormat="false" ht="15" hidden="false" customHeight="false" outlineLevel="0" collapsed="false">
      <c r="A230" s="25" t="n">
        <v>17</v>
      </c>
      <c r="B230" s="25" t="s">
        <v>76</v>
      </c>
      <c r="C230" s="25" t="s">
        <v>18</v>
      </c>
      <c r="D230" s="25" t="s">
        <v>45</v>
      </c>
      <c r="E230" s="25" t="n">
        <v>279</v>
      </c>
      <c r="F230" s="26" t="n">
        <v>292853.12</v>
      </c>
      <c r="G230" s="26" t="n">
        <v>17571.64</v>
      </c>
      <c r="H230" s="25" t="n">
        <v>988</v>
      </c>
      <c r="I230" s="26" t="n">
        <v>36196.65</v>
      </c>
      <c r="J230" s="25" t="n">
        <v>0</v>
      </c>
    </row>
    <row r="231" customFormat="false" ht="15" hidden="false" customHeight="false" outlineLevel="0" collapsed="false">
      <c r="A231" s="25" t="n">
        <v>17</v>
      </c>
      <c r="B231" s="25" t="s">
        <v>76</v>
      </c>
      <c r="C231" s="25" t="s">
        <v>18</v>
      </c>
      <c r="D231" s="25" t="s">
        <v>51</v>
      </c>
      <c r="E231" s="25" t="n">
        <v>279</v>
      </c>
      <c r="F231" s="26" t="n">
        <v>7568.08</v>
      </c>
      <c r="G231" s="26" t="n">
        <v>800.95</v>
      </c>
      <c r="H231" s="25" t="n">
        <v>625</v>
      </c>
      <c r="I231" s="26" t="n">
        <v>1189.7</v>
      </c>
      <c r="J231" s="25" t="n">
        <v>31</v>
      </c>
    </row>
    <row r="232" customFormat="false" ht="15" hidden="false" customHeight="false" outlineLevel="0" collapsed="false">
      <c r="A232" s="25" t="n">
        <v>17</v>
      </c>
      <c r="B232" s="25" t="s">
        <v>76</v>
      </c>
      <c r="C232" s="25" t="s">
        <v>15</v>
      </c>
      <c r="D232" s="25" t="s">
        <v>39</v>
      </c>
      <c r="E232" s="25" t="n">
        <v>248</v>
      </c>
      <c r="F232" s="26" t="n">
        <v>37454.02</v>
      </c>
      <c r="G232" s="26" t="n">
        <v>2805.54</v>
      </c>
      <c r="H232" s="25" t="n">
        <v>502</v>
      </c>
      <c r="I232" s="26" t="n">
        <v>7573.2</v>
      </c>
      <c r="J232" s="25" t="n">
        <v>62</v>
      </c>
    </row>
    <row r="233" customFormat="false" ht="15" hidden="false" customHeight="false" outlineLevel="0" collapsed="false">
      <c r="A233" s="25" t="n">
        <v>17</v>
      </c>
      <c r="B233" s="25" t="s">
        <v>76</v>
      </c>
      <c r="C233" s="25" t="s">
        <v>15</v>
      </c>
      <c r="D233" s="25" t="s">
        <v>45</v>
      </c>
      <c r="E233" s="25" t="n">
        <v>93</v>
      </c>
      <c r="F233" s="26" t="n">
        <v>73926.65</v>
      </c>
      <c r="G233" s="26" t="n">
        <v>4143.21</v>
      </c>
      <c r="H233" s="25" t="n">
        <v>191</v>
      </c>
      <c r="I233" s="26" t="n">
        <v>9137.33</v>
      </c>
      <c r="J233" s="25" t="n">
        <v>0</v>
      </c>
    </row>
    <row r="234" customFormat="false" ht="15" hidden="false" customHeight="false" outlineLevel="0" collapsed="false">
      <c r="A234" s="25" t="n">
        <v>17</v>
      </c>
      <c r="B234" s="25" t="s">
        <v>76</v>
      </c>
      <c r="C234" s="25" t="s">
        <v>15</v>
      </c>
      <c r="D234" s="25" t="s">
        <v>51</v>
      </c>
      <c r="E234" s="25" t="n">
        <v>403</v>
      </c>
      <c r="F234" s="26" t="n">
        <v>9269.45</v>
      </c>
      <c r="G234" s="26" t="n">
        <v>1025.47</v>
      </c>
      <c r="H234" s="25" t="n">
        <v>402</v>
      </c>
      <c r="I234" s="26" t="n">
        <v>1457.16</v>
      </c>
      <c r="J234" s="25" t="n">
        <v>39</v>
      </c>
    </row>
    <row r="235" customFormat="false" ht="15" hidden="false" customHeight="false" outlineLevel="0" collapsed="false">
      <c r="A235" s="25" t="n">
        <v>17</v>
      </c>
      <c r="B235" s="25" t="s">
        <v>76</v>
      </c>
      <c r="C235" s="25" t="s">
        <v>19</v>
      </c>
      <c r="D235" s="25" t="s">
        <v>39</v>
      </c>
      <c r="E235" s="25" t="n">
        <v>124</v>
      </c>
      <c r="F235" s="26" t="n">
        <v>17305.96</v>
      </c>
      <c r="G235" s="26" t="n">
        <v>1284.77</v>
      </c>
      <c r="H235" s="25" t="n">
        <v>1117</v>
      </c>
      <c r="I235" s="26" t="n">
        <v>3499.27</v>
      </c>
      <c r="J235" s="25" t="n">
        <v>31</v>
      </c>
    </row>
    <row r="236" customFormat="false" ht="15" hidden="false" customHeight="false" outlineLevel="0" collapsed="false">
      <c r="A236" s="25" t="n">
        <v>17</v>
      </c>
      <c r="B236" s="25" t="s">
        <v>76</v>
      </c>
      <c r="C236" s="25" t="s">
        <v>19</v>
      </c>
      <c r="D236" s="25" t="s">
        <v>51</v>
      </c>
      <c r="E236" s="25" t="n">
        <v>620</v>
      </c>
      <c r="F236" s="26" t="n">
        <v>13684.49</v>
      </c>
      <c r="G236" s="26" t="n">
        <v>1524.16</v>
      </c>
      <c r="H236" s="25" t="n">
        <v>4955</v>
      </c>
      <c r="I236" s="26" t="n">
        <v>2151.2</v>
      </c>
      <c r="J236" s="25" t="n">
        <v>155</v>
      </c>
    </row>
    <row r="237" customFormat="false" ht="15" hidden="false" customHeight="false" outlineLevel="0" collapsed="false">
      <c r="A237" s="25" t="n">
        <v>17</v>
      </c>
      <c r="B237" s="25" t="s">
        <v>76</v>
      </c>
      <c r="C237" s="25" t="s">
        <v>16</v>
      </c>
      <c r="D237" s="25" t="s">
        <v>39</v>
      </c>
      <c r="E237" s="25" t="n">
        <v>155</v>
      </c>
      <c r="F237" s="26" t="n">
        <v>30505.91</v>
      </c>
      <c r="G237" s="26" t="n">
        <v>2247.33</v>
      </c>
      <c r="H237" s="25" t="n">
        <v>719</v>
      </c>
      <c r="I237" s="26" t="n">
        <v>6168.3</v>
      </c>
      <c r="J237" s="25" t="n">
        <v>0</v>
      </c>
    </row>
    <row r="238" customFormat="false" ht="15" hidden="false" customHeight="false" outlineLevel="0" collapsed="false">
      <c r="A238" s="25" t="n">
        <v>17</v>
      </c>
      <c r="B238" s="25" t="s">
        <v>76</v>
      </c>
      <c r="C238" s="25" t="s">
        <v>16</v>
      </c>
      <c r="D238" s="25" t="s">
        <v>45</v>
      </c>
      <c r="E238" s="25" t="n">
        <v>93</v>
      </c>
      <c r="F238" s="26" t="n">
        <v>60121.65</v>
      </c>
      <c r="G238" s="26" t="n">
        <v>3527.19</v>
      </c>
      <c r="H238" s="25" t="n">
        <v>97</v>
      </c>
      <c r="I238" s="26" t="n">
        <v>7431.04</v>
      </c>
      <c r="J238" s="25" t="n">
        <v>31</v>
      </c>
    </row>
    <row r="239" customFormat="false" ht="15" hidden="false" customHeight="false" outlineLevel="0" collapsed="false">
      <c r="A239" s="25" t="n">
        <v>17</v>
      </c>
      <c r="B239" s="25" t="s">
        <v>76</v>
      </c>
      <c r="C239" s="25" t="s">
        <v>16</v>
      </c>
      <c r="D239" s="25" t="s">
        <v>51</v>
      </c>
      <c r="E239" s="25" t="n">
        <v>434</v>
      </c>
      <c r="F239" s="26" t="n">
        <v>10390.63</v>
      </c>
      <c r="G239" s="26" t="n">
        <v>1111.36</v>
      </c>
      <c r="H239" s="25" t="n">
        <v>1352</v>
      </c>
      <c r="I239" s="26" t="n">
        <v>1633.41</v>
      </c>
      <c r="J239" s="25" t="n">
        <v>0</v>
      </c>
    </row>
    <row r="240" customFormat="false" ht="15" hidden="false" customHeight="false" outlineLevel="0" collapsed="false">
      <c r="A240" s="25" t="n">
        <v>18</v>
      </c>
      <c r="B240" s="25" t="s">
        <v>77</v>
      </c>
      <c r="C240" s="25" t="s">
        <v>17</v>
      </c>
      <c r="D240" s="25" t="s">
        <v>39</v>
      </c>
      <c r="E240" s="25" t="n">
        <v>480</v>
      </c>
      <c r="F240" s="26" t="n">
        <v>81624.08</v>
      </c>
      <c r="G240" s="26" t="n">
        <v>6268.44</v>
      </c>
      <c r="H240" s="25" t="n">
        <v>1354</v>
      </c>
      <c r="I240" s="26" t="n">
        <v>16504.39</v>
      </c>
      <c r="J240" s="25" t="n">
        <v>1</v>
      </c>
    </row>
    <row r="241" customFormat="false" ht="15" hidden="false" customHeight="false" outlineLevel="0" collapsed="false">
      <c r="A241" s="25" t="n">
        <v>18</v>
      </c>
      <c r="B241" s="25" t="s">
        <v>77</v>
      </c>
      <c r="C241" s="25" t="s">
        <v>17</v>
      </c>
      <c r="D241" s="25" t="s">
        <v>45</v>
      </c>
      <c r="E241" s="25" t="n">
        <v>90</v>
      </c>
      <c r="F241" s="26" t="n">
        <v>85718.92</v>
      </c>
      <c r="G241" s="26" t="n">
        <v>5152.27</v>
      </c>
      <c r="H241" s="25" t="n">
        <v>17</v>
      </c>
      <c r="I241" s="26" t="n">
        <v>10594.86</v>
      </c>
      <c r="J241" s="25" t="n">
        <v>0</v>
      </c>
    </row>
    <row r="242" customFormat="false" ht="15" hidden="false" customHeight="false" outlineLevel="0" collapsed="false">
      <c r="A242" s="25" t="n">
        <v>18</v>
      </c>
      <c r="B242" s="25" t="s">
        <v>77</v>
      </c>
      <c r="C242" s="25" t="s">
        <v>17</v>
      </c>
      <c r="D242" s="25" t="s">
        <v>51</v>
      </c>
      <c r="E242" s="25" t="n">
        <v>270</v>
      </c>
      <c r="F242" s="26" t="n">
        <v>6746.48</v>
      </c>
      <c r="G242" s="26" t="n">
        <v>762.69</v>
      </c>
      <c r="H242" s="25" t="n">
        <v>239</v>
      </c>
      <c r="I242" s="26" t="n">
        <v>1060.55</v>
      </c>
      <c r="J242" s="25" t="n">
        <v>0</v>
      </c>
    </row>
    <row r="243" customFormat="false" ht="15" hidden="false" customHeight="false" outlineLevel="0" collapsed="false">
      <c r="A243" s="25" t="n">
        <v>18</v>
      </c>
      <c r="B243" s="25" t="s">
        <v>77</v>
      </c>
      <c r="C243" s="25" t="s">
        <v>18</v>
      </c>
      <c r="D243" s="25" t="s">
        <v>39</v>
      </c>
      <c r="E243" s="25" t="n">
        <v>120</v>
      </c>
      <c r="F243" s="26" t="n">
        <v>17459.21</v>
      </c>
      <c r="G243" s="26" t="n">
        <v>1346.93</v>
      </c>
      <c r="H243" s="25" t="n">
        <v>280</v>
      </c>
      <c r="I243" s="26" t="n">
        <v>3530.25</v>
      </c>
      <c r="J243" s="25" t="n">
        <v>60</v>
      </c>
    </row>
    <row r="244" customFormat="false" ht="15" hidden="false" customHeight="false" outlineLevel="0" collapsed="false">
      <c r="A244" s="25" t="n">
        <v>18</v>
      </c>
      <c r="B244" s="25" t="s">
        <v>77</v>
      </c>
      <c r="C244" s="25" t="s">
        <v>18</v>
      </c>
      <c r="D244" s="25" t="s">
        <v>45</v>
      </c>
      <c r="E244" s="25" t="n">
        <v>270</v>
      </c>
      <c r="F244" s="26" t="n">
        <v>286100.38</v>
      </c>
      <c r="G244" s="26" t="n">
        <v>17155.96</v>
      </c>
      <c r="H244" s="25" t="n">
        <v>342</v>
      </c>
      <c r="I244" s="26" t="n">
        <v>35362.01</v>
      </c>
      <c r="J244" s="25" t="n">
        <v>0</v>
      </c>
    </row>
    <row r="245" customFormat="false" ht="15" hidden="false" customHeight="false" outlineLevel="0" collapsed="false">
      <c r="A245" s="25" t="n">
        <v>18</v>
      </c>
      <c r="B245" s="25" t="s">
        <v>77</v>
      </c>
      <c r="C245" s="25" t="s">
        <v>18</v>
      </c>
      <c r="D245" s="25" t="s">
        <v>51</v>
      </c>
      <c r="E245" s="25" t="n">
        <v>270</v>
      </c>
      <c r="F245" s="26" t="n">
        <v>7667.33</v>
      </c>
      <c r="G245" s="26" t="n">
        <v>814.93</v>
      </c>
      <c r="H245" s="25" t="n">
        <v>191</v>
      </c>
      <c r="I245" s="26" t="n">
        <v>1205.3</v>
      </c>
      <c r="J245" s="25" t="n">
        <v>30</v>
      </c>
    </row>
    <row r="246" customFormat="false" ht="15" hidden="false" customHeight="false" outlineLevel="0" collapsed="false">
      <c r="A246" s="25" t="n">
        <v>18</v>
      </c>
      <c r="B246" s="25" t="s">
        <v>77</v>
      </c>
      <c r="C246" s="25" t="s">
        <v>15</v>
      </c>
      <c r="D246" s="25" t="s">
        <v>39</v>
      </c>
      <c r="E246" s="25" t="n">
        <v>240</v>
      </c>
      <c r="F246" s="26" t="n">
        <v>36968.7</v>
      </c>
      <c r="G246" s="26" t="n">
        <v>2755.91</v>
      </c>
      <c r="H246" s="25" t="n">
        <v>871</v>
      </c>
      <c r="I246" s="26" t="n">
        <v>7475.07</v>
      </c>
      <c r="J246" s="25" t="n">
        <v>35</v>
      </c>
    </row>
    <row r="247" customFormat="false" ht="15" hidden="false" customHeight="false" outlineLevel="0" collapsed="false">
      <c r="A247" s="25" t="n">
        <v>18</v>
      </c>
      <c r="B247" s="25" t="s">
        <v>77</v>
      </c>
      <c r="C247" s="25" t="s">
        <v>15</v>
      </c>
      <c r="D247" s="25" t="s">
        <v>45</v>
      </c>
      <c r="E247" s="25" t="n">
        <v>90</v>
      </c>
      <c r="F247" s="26" t="n">
        <v>71895.32</v>
      </c>
      <c r="G247" s="26" t="n">
        <v>4012.96</v>
      </c>
      <c r="H247" s="25" t="n">
        <v>147</v>
      </c>
      <c r="I247" s="26" t="n">
        <v>8886.26</v>
      </c>
      <c r="J247" s="25" t="n">
        <v>0</v>
      </c>
    </row>
    <row r="248" customFormat="false" ht="15" hidden="false" customHeight="false" outlineLevel="0" collapsed="false">
      <c r="A248" s="25" t="n">
        <v>18</v>
      </c>
      <c r="B248" s="25" t="s">
        <v>77</v>
      </c>
      <c r="C248" s="25" t="s">
        <v>15</v>
      </c>
      <c r="D248" s="25" t="s">
        <v>51</v>
      </c>
      <c r="E248" s="25" t="n">
        <v>390</v>
      </c>
      <c r="F248" s="26" t="n">
        <v>9250.53</v>
      </c>
      <c r="G248" s="26" t="n">
        <v>1025.8</v>
      </c>
      <c r="H248" s="25" t="n">
        <v>744</v>
      </c>
      <c r="I248" s="26" t="n">
        <v>1454.18</v>
      </c>
      <c r="J248" s="25" t="n">
        <v>60</v>
      </c>
    </row>
    <row r="249" customFormat="false" ht="15" hidden="false" customHeight="false" outlineLevel="0" collapsed="false">
      <c r="A249" s="25" t="n">
        <v>18</v>
      </c>
      <c r="B249" s="25" t="s">
        <v>77</v>
      </c>
      <c r="C249" s="25" t="s">
        <v>19</v>
      </c>
      <c r="D249" s="25" t="s">
        <v>39</v>
      </c>
      <c r="E249" s="25" t="n">
        <v>120</v>
      </c>
      <c r="F249" s="26" t="n">
        <v>17230.83</v>
      </c>
      <c r="G249" s="26" t="n">
        <v>1281.3</v>
      </c>
      <c r="H249" s="25" t="n">
        <v>341</v>
      </c>
      <c r="I249" s="26" t="n">
        <v>3484.07</v>
      </c>
      <c r="J249" s="25" t="n">
        <v>30</v>
      </c>
    </row>
    <row r="250" customFormat="false" ht="15" hidden="false" customHeight="false" outlineLevel="0" collapsed="false">
      <c r="A250" s="25" t="n">
        <v>18</v>
      </c>
      <c r="B250" s="25" t="s">
        <v>77</v>
      </c>
      <c r="C250" s="25" t="s">
        <v>19</v>
      </c>
      <c r="D250" s="25" t="s">
        <v>51</v>
      </c>
      <c r="E250" s="25" t="n">
        <v>600</v>
      </c>
      <c r="F250" s="26" t="n">
        <v>13719.79</v>
      </c>
      <c r="G250" s="26" t="n">
        <v>1531.43</v>
      </c>
      <c r="H250" s="25" t="n">
        <v>5241</v>
      </c>
      <c r="I250" s="26" t="n">
        <v>2156.75</v>
      </c>
      <c r="J250" s="25" t="n">
        <v>150</v>
      </c>
    </row>
    <row r="251" customFormat="false" ht="15" hidden="false" customHeight="false" outlineLevel="0" collapsed="false">
      <c r="A251" s="25" t="n">
        <v>18</v>
      </c>
      <c r="B251" s="25" t="s">
        <v>77</v>
      </c>
      <c r="C251" s="25" t="s">
        <v>16</v>
      </c>
      <c r="D251" s="25" t="s">
        <v>39</v>
      </c>
      <c r="E251" s="25" t="n">
        <v>150</v>
      </c>
      <c r="F251" s="26" t="n">
        <v>30332.02</v>
      </c>
      <c r="G251" s="26" t="n">
        <v>2231.61</v>
      </c>
      <c r="H251" s="25" t="n">
        <v>352</v>
      </c>
      <c r="I251" s="26" t="n">
        <v>6133.13</v>
      </c>
      <c r="J251" s="25" t="n">
        <v>0</v>
      </c>
    </row>
    <row r="252" customFormat="false" ht="15" hidden="false" customHeight="false" outlineLevel="0" collapsed="false">
      <c r="A252" s="25" t="n">
        <v>18</v>
      </c>
      <c r="B252" s="25" t="s">
        <v>77</v>
      </c>
      <c r="C252" s="25" t="s">
        <v>16</v>
      </c>
      <c r="D252" s="25" t="s">
        <v>45</v>
      </c>
      <c r="E252" s="25" t="n">
        <v>90</v>
      </c>
      <c r="F252" s="26" t="n">
        <v>57364.39</v>
      </c>
      <c r="G252" s="26" t="n">
        <v>3367.22</v>
      </c>
      <c r="H252" s="25" t="n">
        <v>703</v>
      </c>
      <c r="I252" s="26" t="n">
        <v>7090.24</v>
      </c>
      <c r="J252" s="25" t="n">
        <v>30</v>
      </c>
    </row>
    <row r="253" customFormat="false" ht="15" hidden="false" customHeight="false" outlineLevel="0" collapsed="false">
      <c r="A253" s="25" t="n">
        <v>18</v>
      </c>
      <c r="B253" s="25" t="s">
        <v>77</v>
      </c>
      <c r="C253" s="25" t="s">
        <v>16</v>
      </c>
      <c r="D253" s="25" t="s">
        <v>51</v>
      </c>
      <c r="E253" s="25" t="n">
        <v>420</v>
      </c>
      <c r="F253" s="26" t="n">
        <v>10572.63</v>
      </c>
      <c r="G253" s="26" t="n">
        <v>1130.66</v>
      </c>
      <c r="H253" s="25" t="n">
        <v>1241</v>
      </c>
      <c r="I253" s="26" t="n">
        <v>1662.02</v>
      </c>
      <c r="J253" s="25" t="n">
        <v>24</v>
      </c>
    </row>
    <row r="254" customFormat="false" ht="15" hidden="false" customHeight="false" outlineLevel="0" collapsed="false">
      <c r="A254" s="25" t="n">
        <v>19</v>
      </c>
      <c r="B254" s="25" t="s">
        <v>78</v>
      </c>
      <c r="C254" s="25" t="s">
        <v>17</v>
      </c>
      <c r="D254" s="25" t="s">
        <v>39</v>
      </c>
      <c r="E254" s="25" t="n">
        <v>496</v>
      </c>
      <c r="F254" s="26" t="n">
        <v>86041.95</v>
      </c>
      <c r="G254" s="26" t="n">
        <v>6581.93</v>
      </c>
      <c r="H254" s="25" t="n">
        <v>296</v>
      </c>
      <c r="I254" s="26" t="n">
        <v>16107.05</v>
      </c>
      <c r="J254" s="25" t="n">
        <v>0</v>
      </c>
    </row>
    <row r="255" customFormat="false" ht="15" hidden="false" customHeight="false" outlineLevel="0" collapsed="false">
      <c r="A255" s="25" t="n">
        <v>19</v>
      </c>
      <c r="B255" s="25" t="s">
        <v>78</v>
      </c>
      <c r="C255" s="25" t="s">
        <v>17</v>
      </c>
      <c r="D255" s="25" t="s">
        <v>45</v>
      </c>
      <c r="E255" s="25" t="n">
        <v>93</v>
      </c>
      <c r="F255" s="26" t="n">
        <v>85391.62</v>
      </c>
      <c r="G255" s="26" t="n">
        <v>5154.16</v>
      </c>
      <c r="H255" s="25" t="n">
        <v>14</v>
      </c>
      <c r="I255" s="26" t="n">
        <v>9768.8</v>
      </c>
      <c r="J255" s="25" t="n">
        <v>0</v>
      </c>
    </row>
    <row r="256" customFormat="false" ht="15" hidden="false" customHeight="false" outlineLevel="0" collapsed="false">
      <c r="A256" s="25" t="n">
        <v>19</v>
      </c>
      <c r="B256" s="25" t="s">
        <v>78</v>
      </c>
      <c r="C256" s="25" t="s">
        <v>17</v>
      </c>
      <c r="D256" s="25" t="s">
        <v>51</v>
      </c>
      <c r="E256" s="25" t="n">
        <v>279</v>
      </c>
      <c r="F256" s="26" t="n">
        <v>6911.62</v>
      </c>
      <c r="G256" s="26" t="n">
        <v>786.09</v>
      </c>
      <c r="H256" s="25" t="n">
        <v>300</v>
      </c>
      <c r="I256" s="26" t="n">
        <v>1006.33</v>
      </c>
      <c r="J256" s="25" t="n">
        <v>0</v>
      </c>
    </row>
    <row r="257" customFormat="false" ht="15" hidden="false" customHeight="false" outlineLevel="0" collapsed="false">
      <c r="A257" s="25" t="n">
        <v>19</v>
      </c>
      <c r="B257" s="25" t="s">
        <v>78</v>
      </c>
      <c r="C257" s="25" t="s">
        <v>18</v>
      </c>
      <c r="D257" s="25" t="s">
        <v>39</v>
      </c>
      <c r="E257" s="25" t="n">
        <v>124</v>
      </c>
      <c r="F257" s="26" t="n">
        <v>19144.41</v>
      </c>
      <c r="G257" s="26" t="n">
        <v>1474.36</v>
      </c>
      <c r="H257" s="25" t="n">
        <v>109</v>
      </c>
      <c r="I257" s="26" t="n">
        <v>3583.83</v>
      </c>
      <c r="J257" s="25" t="n">
        <v>40</v>
      </c>
    </row>
    <row r="258" customFormat="false" ht="15" hidden="false" customHeight="false" outlineLevel="0" collapsed="false">
      <c r="A258" s="25" t="n">
        <v>19</v>
      </c>
      <c r="B258" s="25" t="s">
        <v>78</v>
      </c>
      <c r="C258" s="25" t="s">
        <v>18</v>
      </c>
      <c r="D258" s="25" t="s">
        <v>45</v>
      </c>
      <c r="E258" s="25" t="n">
        <v>279</v>
      </c>
      <c r="F258" s="26" t="n">
        <v>292749.03</v>
      </c>
      <c r="G258" s="26" t="n">
        <v>17569.27</v>
      </c>
      <c r="H258" s="25" t="n">
        <v>506</v>
      </c>
      <c r="I258" s="26" t="n">
        <v>33490.49</v>
      </c>
      <c r="J258" s="25" t="n">
        <v>0</v>
      </c>
    </row>
    <row r="259" customFormat="false" ht="15" hidden="false" customHeight="false" outlineLevel="0" collapsed="false">
      <c r="A259" s="25" t="n">
        <v>19</v>
      </c>
      <c r="B259" s="25" t="s">
        <v>78</v>
      </c>
      <c r="C259" s="25" t="s">
        <v>18</v>
      </c>
      <c r="D259" s="25" t="s">
        <v>51</v>
      </c>
      <c r="E259" s="25" t="n">
        <v>279</v>
      </c>
      <c r="F259" s="26" t="n">
        <v>7665.98</v>
      </c>
      <c r="G259" s="26" t="n">
        <v>813.32</v>
      </c>
      <c r="H259" s="25" t="n">
        <v>774</v>
      </c>
      <c r="I259" s="26" t="n">
        <v>1116.17</v>
      </c>
      <c r="J259" s="25" t="n">
        <v>31</v>
      </c>
    </row>
    <row r="260" customFormat="false" ht="15" hidden="false" customHeight="false" outlineLevel="0" collapsed="false">
      <c r="A260" s="25" t="n">
        <v>19</v>
      </c>
      <c r="B260" s="25" t="s">
        <v>78</v>
      </c>
      <c r="C260" s="25" t="s">
        <v>15</v>
      </c>
      <c r="D260" s="25" t="s">
        <v>39</v>
      </c>
      <c r="E260" s="25" t="n">
        <v>248</v>
      </c>
      <c r="F260" s="26" t="n">
        <v>39031.9</v>
      </c>
      <c r="G260" s="26" t="n">
        <v>2924.29</v>
      </c>
      <c r="H260" s="25" t="n">
        <v>391</v>
      </c>
      <c r="I260" s="26" t="n">
        <v>7306.77</v>
      </c>
      <c r="J260" s="25" t="n">
        <v>31</v>
      </c>
    </row>
    <row r="261" customFormat="false" ht="15" hidden="false" customHeight="false" outlineLevel="0" collapsed="false">
      <c r="A261" s="25" t="n">
        <v>19</v>
      </c>
      <c r="B261" s="25" t="s">
        <v>78</v>
      </c>
      <c r="C261" s="25" t="s">
        <v>15</v>
      </c>
      <c r="D261" s="25" t="s">
        <v>45</v>
      </c>
      <c r="E261" s="25" t="n">
        <v>93</v>
      </c>
      <c r="F261" s="26" t="n">
        <v>75210.31</v>
      </c>
      <c r="G261" s="26" t="n">
        <v>4230.38</v>
      </c>
      <c r="H261" s="25" t="n">
        <v>120</v>
      </c>
      <c r="I261" s="26" t="n">
        <v>8604.06</v>
      </c>
      <c r="J261" s="25" t="n">
        <v>0</v>
      </c>
    </row>
    <row r="262" customFormat="false" ht="15" hidden="false" customHeight="false" outlineLevel="0" collapsed="false">
      <c r="A262" s="25" t="n">
        <v>19</v>
      </c>
      <c r="B262" s="25" t="s">
        <v>78</v>
      </c>
      <c r="C262" s="25" t="s">
        <v>15</v>
      </c>
      <c r="D262" s="25" t="s">
        <v>51</v>
      </c>
      <c r="E262" s="25" t="n">
        <v>403</v>
      </c>
      <c r="F262" s="26" t="n">
        <v>9378</v>
      </c>
      <c r="G262" s="26" t="n">
        <v>1036.99</v>
      </c>
      <c r="H262" s="25" t="n">
        <v>926</v>
      </c>
      <c r="I262" s="26" t="n">
        <v>1365.44</v>
      </c>
      <c r="J262" s="25" t="n">
        <v>44</v>
      </c>
    </row>
    <row r="263" customFormat="false" ht="15" hidden="false" customHeight="false" outlineLevel="0" collapsed="false">
      <c r="A263" s="25" t="n">
        <v>19</v>
      </c>
      <c r="B263" s="25" t="s">
        <v>78</v>
      </c>
      <c r="C263" s="25" t="s">
        <v>19</v>
      </c>
      <c r="D263" s="25" t="s">
        <v>39</v>
      </c>
      <c r="E263" s="25" t="n">
        <v>124</v>
      </c>
      <c r="F263" s="26" t="n">
        <v>18065.97</v>
      </c>
      <c r="G263" s="26" t="n">
        <v>1347.39</v>
      </c>
      <c r="H263" s="25" t="n">
        <v>791</v>
      </c>
      <c r="I263" s="26" t="n">
        <v>3381.95</v>
      </c>
      <c r="J263" s="25" t="n">
        <v>31</v>
      </c>
    </row>
    <row r="264" customFormat="false" ht="15" hidden="false" customHeight="false" outlineLevel="0" collapsed="false">
      <c r="A264" s="25" t="n">
        <v>19</v>
      </c>
      <c r="B264" s="25" t="s">
        <v>78</v>
      </c>
      <c r="C264" s="25" t="s">
        <v>19</v>
      </c>
      <c r="D264" s="25" t="s">
        <v>51</v>
      </c>
      <c r="E264" s="25" t="n">
        <v>620</v>
      </c>
      <c r="F264" s="26" t="n">
        <v>13728.85</v>
      </c>
      <c r="G264" s="26" t="n">
        <v>1529.49</v>
      </c>
      <c r="H264" s="25" t="n">
        <v>5004</v>
      </c>
      <c r="I264" s="26" t="n">
        <v>1998.92</v>
      </c>
      <c r="J264" s="25" t="n">
        <v>155</v>
      </c>
    </row>
    <row r="265" customFormat="false" ht="15" hidden="false" customHeight="false" outlineLevel="0" collapsed="false">
      <c r="A265" s="25" t="n">
        <v>19</v>
      </c>
      <c r="B265" s="25" t="s">
        <v>78</v>
      </c>
      <c r="C265" s="25" t="s">
        <v>16</v>
      </c>
      <c r="D265" s="25" t="s">
        <v>39</v>
      </c>
      <c r="E265" s="25" t="n">
        <v>155</v>
      </c>
      <c r="F265" s="26" t="n">
        <v>31162.03</v>
      </c>
      <c r="G265" s="26" t="n">
        <v>2303.24</v>
      </c>
      <c r="H265" s="25" t="n">
        <v>501</v>
      </c>
      <c r="I265" s="26" t="n">
        <v>5833.53</v>
      </c>
      <c r="J265" s="25" t="n">
        <v>0</v>
      </c>
    </row>
    <row r="266" customFormat="false" ht="15" hidden="false" customHeight="false" outlineLevel="0" collapsed="false">
      <c r="A266" s="25" t="n">
        <v>19</v>
      </c>
      <c r="B266" s="25" t="s">
        <v>78</v>
      </c>
      <c r="C266" s="25" t="s">
        <v>16</v>
      </c>
      <c r="D266" s="25" t="s">
        <v>45</v>
      </c>
      <c r="E266" s="25" t="n">
        <v>93</v>
      </c>
      <c r="F266" s="26" t="n">
        <v>59874</v>
      </c>
      <c r="G266" s="26" t="n">
        <v>3519.64</v>
      </c>
      <c r="H266" s="25" t="n">
        <v>406</v>
      </c>
      <c r="I266" s="26" t="n">
        <v>6849.59</v>
      </c>
      <c r="J266" s="25" t="n">
        <v>31</v>
      </c>
    </row>
    <row r="267" customFormat="false" ht="15" hidden="false" customHeight="false" outlineLevel="0" collapsed="false">
      <c r="A267" s="25" t="n">
        <v>19</v>
      </c>
      <c r="B267" s="25" t="s">
        <v>78</v>
      </c>
      <c r="C267" s="25" t="s">
        <v>16</v>
      </c>
      <c r="D267" s="25" t="s">
        <v>51</v>
      </c>
      <c r="E267" s="25" t="n">
        <v>434</v>
      </c>
      <c r="F267" s="26" t="n">
        <v>10391.95</v>
      </c>
      <c r="G267" s="26" t="n">
        <v>1101.23</v>
      </c>
      <c r="H267" s="25" t="n">
        <v>1398</v>
      </c>
      <c r="I267" s="26" t="n">
        <v>1513.07</v>
      </c>
      <c r="J267" s="25" t="n">
        <v>31</v>
      </c>
    </row>
    <row r="268" customFormat="false" ht="15" hidden="false" customHeight="false" outlineLevel="0" collapsed="false">
      <c r="A268" s="25" t="n">
        <v>20</v>
      </c>
      <c r="B268" s="25" t="s">
        <v>79</v>
      </c>
      <c r="C268" s="25" t="s">
        <v>17</v>
      </c>
      <c r="D268" s="25" t="s">
        <v>39</v>
      </c>
      <c r="E268" s="25" t="n">
        <v>496</v>
      </c>
      <c r="F268" s="26" t="n">
        <v>79027.62</v>
      </c>
      <c r="G268" s="26" t="n">
        <v>6058.55</v>
      </c>
      <c r="H268" s="25" t="n">
        <v>191</v>
      </c>
      <c r="I268" s="26" t="n">
        <v>14793.97</v>
      </c>
      <c r="J268" s="25" t="n">
        <v>0</v>
      </c>
    </row>
    <row r="269" customFormat="false" ht="15" hidden="false" customHeight="false" outlineLevel="0" collapsed="false">
      <c r="A269" s="25" t="n">
        <v>20</v>
      </c>
      <c r="B269" s="25" t="s">
        <v>79</v>
      </c>
      <c r="C269" s="25" t="s">
        <v>17</v>
      </c>
      <c r="D269" s="25" t="s">
        <v>45</v>
      </c>
      <c r="E269" s="25" t="n">
        <v>93</v>
      </c>
      <c r="F269" s="26" t="n">
        <v>79012.4</v>
      </c>
      <c r="G269" s="26" t="n">
        <v>4767.78</v>
      </c>
      <c r="H269" s="25" t="n">
        <v>0</v>
      </c>
      <c r="I269" s="26" t="n">
        <v>9039.02</v>
      </c>
      <c r="J269" s="25" t="n">
        <v>0</v>
      </c>
    </row>
    <row r="270" customFormat="false" ht="15" hidden="false" customHeight="false" outlineLevel="0" collapsed="false">
      <c r="A270" s="25" t="n">
        <v>20</v>
      </c>
      <c r="B270" s="25" t="s">
        <v>79</v>
      </c>
      <c r="C270" s="25" t="s">
        <v>17</v>
      </c>
      <c r="D270" s="25" t="s">
        <v>51</v>
      </c>
      <c r="E270" s="25" t="n">
        <v>279</v>
      </c>
      <c r="F270" s="26" t="n">
        <v>6314.39</v>
      </c>
      <c r="G270" s="26" t="n">
        <v>713.27</v>
      </c>
      <c r="H270" s="25" t="n">
        <v>328</v>
      </c>
      <c r="I270" s="26" t="n">
        <v>919.38</v>
      </c>
      <c r="J270" s="25" t="n">
        <v>0</v>
      </c>
    </row>
    <row r="271" customFormat="false" ht="15" hidden="false" customHeight="false" outlineLevel="0" collapsed="false">
      <c r="A271" s="25" t="n">
        <v>20</v>
      </c>
      <c r="B271" s="25" t="s">
        <v>79</v>
      </c>
      <c r="C271" s="25" t="s">
        <v>18</v>
      </c>
      <c r="D271" s="25" t="s">
        <v>39</v>
      </c>
      <c r="E271" s="25" t="n">
        <v>124</v>
      </c>
      <c r="F271" s="26" t="n">
        <v>17352.37</v>
      </c>
      <c r="G271" s="26" t="n">
        <v>1341.97</v>
      </c>
      <c r="H271" s="25" t="n">
        <v>171</v>
      </c>
      <c r="I271" s="26" t="n">
        <v>3248.36</v>
      </c>
      <c r="J271" s="25" t="n">
        <v>31</v>
      </c>
    </row>
    <row r="272" customFormat="false" ht="15" hidden="false" customHeight="false" outlineLevel="0" collapsed="false">
      <c r="A272" s="25" t="n">
        <v>20</v>
      </c>
      <c r="B272" s="25" t="s">
        <v>79</v>
      </c>
      <c r="C272" s="25" t="s">
        <v>18</v>
      </c>
      <c r="D272" s="25" t="s">
        <v>45</v>
      </c>
      <c r="E272" s="25" t="n">
        <v>279</v>
      </c>
      <c r="F272" s="26" t="n">
        <v>270309.98</v>
      </c>
      <c r="G272" s="26" t="n">
        <v>16312.98</v>
      </c>
      <c r="H272" s="25" t="n">
        <v>721</v>
      </c>
      <c r="I272" s="26" t="n">
        <v>30923.46</v>
      </c>
      <c r="J272" s="25" t="n">
        <v>0</v>
      </c>
    </row>
    <row r="273" customFormat="false" ht="15" hidden="false" customHeight="false" outlineLevel="0" collapsed="false">
      <c r="A273" s="25" t="n">
        <v>20</v>
      </c>
      <c r="B273" s="25" t="s">
        <v>79</v>
      </c>
      <c r="C273" s="25" t="s">
        <v>18</v>
      </c>
      <c r="D273" s="25" t="s">
        <v>51</v>
      </c>
      <c r="E273" s="25" t="n">
        <v>279</v>
      </c>
      <c r="F273" s="26" t="n">
        <v>7075.97</v>
      </c>
      <c r="G273" s="26" t="n">
        <v>752.63</v>
      </c>
      <c r="H273" s="25" t="n">
        <v>669</v>
      </c>
      <c r="I273" s="26" t="n">
        <v>1030.26</v>
      </c>
      <c r="J273" s="25" t="n">
        <v>31</v>
      </c>
    </row>
    <row r="274" customFormat="false" ht="15" hidden="false" customHeight="false" outlineLevel="0" collapsed="false">
      <c r="A274" s="25" t="n">
        <v>20</v>
      </c>
      <c r="B274" s="25" t="s">
        <v>79</v>
      </c>
      <c r="C274" s="25" t="s">
        <v>15</v>
      </c>
      <c r="D274" s="25" t="s">
        <v>39</v>
      </c>
      <c r="E274" s="25" t="n">
        <v>248</v>
      </c>
      <c r="F274" s="26" t="n">
        <v>35806.22</v>
      </c>
      <c r="G274" s="26" t="n">
        <v>2673.58</v>
      </c>
      <c r="H274" s="25" t="n">
        <v>552</v>
      </c>
      <c r="I274" s="26" t="n">
        <v>6702.92</v>
      </c>
      <c r="J274" s="25" t="n">
        <v>31</v>
      </c>
    </row>
    <row r="275" customFormat="false" ht="15" hidden="false" customHeight="false" outlineLevel="0" collapsed="false">
      <c r="A275" s="25" t="n">
        <v>20</v>
      </c>
      <c r="B275" s="25" t="s">
        <v>79</v>
      </c>
      <c r="C275" s="25" t="s">
        <v>15</v>
      </c>
      <c r="D275" s="25" t="s">
        <v>45</v>
      </c>
      <c r="E275" s="25" t="n">
        <v>93</v>
      </c>
      <c r="F275" s="26" t="n">
        <v>67624.22</v>
      </c>
      <c r="G275" s="26" t="n">
        <v>3796.32</v>
      </c>
      <c r="H275" s="25" t="n">
        <v>105</v>
      </c>
      <c r="I275" s="26" t="n">
        <v>7736.21</v>
      </c>
      <c r="J275" s="25" t="n">
        <v>19</v>
      </c>
    </row>
    <row r="276" customFormat="false" ht="15" hidden="false" customHeight="false" outlineLevel="0" collapsed="false">
      <c r="A276" s="25" t="n">
        <v>20</v>
      </c>
      <c r="B276" s="25" t="s">
        <v>79</v>
      </c>
      <c r="C276" s="25" t="s">
        <v>15</v>
      </c>
      <c r="D276" s="25" t="s">
        <v>51</v>
      </c>
      <c r="E276" s="25" t="n">
        <v>403</v>
      </c>
      <c r="F276" s="26" t="n">
        <v>8855.21</v>
      </c>
      <c r="G276" s="26" t="n">
        <v>979.11</v>
      </c>
      <c r="H276" s="25" t="n">
        <v>465</v>
      </c>
      <c r="I276" s="26" t="n">
        <v>1289.32</v>
      </c>
      <c r="J276" s="25" t="n">
        <v>31</v>
      </c>
    </row>
    <row r="277" customFormat="false" ht="15" hidden="false" customHeight="false" outlineLevel="0" collapsed="false">
      <c r="A277" s="25" t="n">
        <v>20</v>
      </c>
      <c r="B277" s="25" t="s">
        <v>79</v>
      </c>
      <c r="C277" s="25" t="s">
        <v>19</v>
      </c>
      <c r="D277" s="25" t="s">
        <v>39</v>
      </c>
      <c r="E277" s="25" t="n">
        <v>124</v>
      </c>
      <c r="F277" s="26" t="n">
        <v>16643.9</v>
      </c>
      <c r="G277" s="26" t="n">
        <v>1236.22</v>
      </c>
      <c r="H277" s="25" t="n">
        <v>552</v>
      </c>
      <c r="I277" s="26" t="n">
        <v>3115.74</v>
      </c>
      <c r="J277" s="25" t="n">
        <v>31</v>
      </c>
    </row>
    <row r="278" customFormat="false" ht="15" hidden="false" customHeight="false" outlineLevel="0" collapsed="false">
      <c r="A278" s="25" t="n">
        <v>20</v>
      </c>
      <c r="B278" s="25" t="s">
        <v>79</v>
      </c>
      <c r="C278" s="25" t="s">
        <v>19</v>
      </c>
      <c r="D278" s="25" t="s">
        <v>51</v>
      </c>
      <c r="E278" s="25" t="n">
        <v>620</v>
      </c>
      <c r="F278" s="26" t="n">
        <v>12865.96</v>
      </c>
      <c r="G278" s="26" t="n">
        <v>1431.3</v>
      </c>
      <c r="H278" s="25" t="n">
        <v>5183</v>
      </c>
      <c r="I278" s="26" t="n">
        <v>1873.28</v>
      </c>
      <c r="J278" s="25" t="n">
        <v>155</v>
      </c>
    </row>
    <row r="279" customFormat="false" ht="15" hidden="false" customHeight="false" outlineLevel="0" collapsed="false">
      <c r="A279" s="25" t="n">
        <v>20</v>
      </c>
      <c r="B279" s="25" t="s">
        <v>79</v>
      </c>
      <c r="C279" s="25" t="s">
        <v>16</v>
      </c>
      <c r="D279" s="25" t="s">
        <v>39</v>
      </c>
      <c r="E279" s="25" t="n">
        <v>155</v>
      </c>
      <c r="F279" s="26" t="n">
        <v>28495.29</v>
      </c>
      <c r="G279" s="26" t="n">
        <v>2105.76</v>
      </c>
      <c r="H279" s="25" t="n">
        <v>406</v>
      </c>
      <c r="I279" s="26" t="n">
        <v>5334.32</v>
      </c>
      <c r="J279" s="25" t="n">
        <v>0</v>
      </c>
    </row>
    <row r="280" customFormat="false" ht="15" hidden="false" customHeight="false" outlineLevel="0" collapsed="false">
      <c r="A280" s="25" t="n">
        <v>20</v>
      </c>
      <c r="B280" s="25" t="s">
        <v>79</v>
      </c>
      <c r="C280" s="25" t="s">
        <v>16</v>
      </c>
      <c r="D280" s="25" t="s">
        <v>45</v>
      </c>
      <c r="E280" s="25" t="n">
        <v>93</v>
      </c>
      <c r="F280" s="26" t="n">
        <v>55379.33</v>
      </c>
      <c r="G280" s="26" t="n">
        <v>3245.77</v>
      </c>
      <c r="H280" s="25" t="n">
        <v>437</v>
      </c>
      <c r="I280" s="26" t="n">
        <v>6335.4</v>
      </c>
      <c r="J280" s="25" t="n">
        <v>31</v>
      </c>
    </row>
    <row r="281" customFormat="false" ht="15" hidden="false" customHeight="false" outlineLevel="0" collapsed="false">
      <c r="A281" s="25" t="n">
        <v>20</v>
      </c>
      <c r="B281" s="25" t="s">
        <v>79</v>
      </c>
      <c r="C281" s="25" t="s">
        <v>16</v>
      </c>
      <c r="D281" s="25" t="s">
        <v>51</v>
      </c>
      <c r="E281" s="25" t="n">
        <v>434</v>
      </c>
      <c r="F281" s="26" t="n">
        <v>9783.88</v>
      </c>
      <c r="G281" s="26" t="n">
        <v>1044.99</v>
      </c>
      <c r="H281" s="25" t="n">
        <v>1260</v>
      </c>
      <c r="I281" s="26" t="n">
        <v>1424.53</v>
      </c>
      <c r="J281" s="25" t="n">
        <v>20</v>
      </c>
    </row>
    <row r="282" customFormat="false" ht="15" hidden="false" customHeight="false" outlineLevel="0" collapsed="false">
      <c r="A282" s="25" t="n">
        <v>21</v>
      </c>
      <c r="B282" s="25" t="s">
        <v>80</v>
      </c>
      <c r="C282" s="25" t="s">
        <v>17</v>
      </c>
      <c r="D282" s="25" t="s">
        <v>39</v>
      </c>
      <c r="E282" s="25" t="n">
        <v>480</v>
      </c>
      <c r="F282" s="26" t="n">
        <v>67850.77</v>
      </c>
      <c r="G282" s="26" t="n">
        <v>5197.61</v>
      </c>
      <c r="H282" s="25" t="n">
        <v>984</v>
      </c>
      <c r="I282" s="26" t="n">
        <v>12701.66</v>
      </c>
      <c r="J282" s="25" t="n">
        <v>0</v>
      </c>
    </row>
    <row r="283" customFormat="false" ht="15" hidden="false" customHeight="false" outlineLevel="0" collapsed="false">
      <c r="A283" s="25" t="n">
        <v>21</v>
      </c>
      <c r="B283" s="25" t="s">
        <v>80</v>
      </c>
      <c r="C283" s="25" t="s">
        <v>17</v>
      </c>
      <c r="D283" s="25" t="s">
        <v>45</v>
      </c>
      <c r="E283" s="25" t="n">
        <v>90</v>
      </c>
      <c r="F283" s="26" t="n">
        <v>66871.77</v>
      </c>
      <c r="G283" s="26" t="n">
        <v>4027.79</v>
      </c>
      <c r="H283" s="25" t="n">
        <v>94</v>
      </c>
      <c r="I283" s="26" t="n">
        <v>7650.13</v>
      </c>
      <c r="J283" s="25" t="n">
        <v>0</v>
      </c>
    </row>
    <row r="284" customFormat="false" ht="15" hidden="false" customHeight="false" outlineLevel="0" collapsed="false">
      <c r="A284" s="25" t="n">
        <v>21</v>
      </c>
      <c r="B284" s="25" t="s">
        <v>80</v>
      </c>
      <c r="C284" s="25" t="s">
        <v>17</v>
      </c>
      <c r="D284" s="25" t="s">
        <v>51</v>
      </c>
      <c r="E284" s="25" t="n">
        <v>270</v>
      </c>
      <c r="F284" s="26" t="n">
        <v>5540.64</v>
      </c>
      <c r="G284" s="26" t="n">
        <v>627.15</v>
      </c>
      <c r="H284" s="25" t="n">
        <v>411</v>
      </c>
      <c r="I284" s="26" t="n">
        <v>806.72</v>
      </c>
      <c r="J284" s="25" t="n">
        <v>0</v>
      </c>
    </row>
    <row r="285" customFormat="false" ht="15" hidden="false" customHeight="false" outlineLevel="0" collapsed="false">
      <c r="A285" s="25" t="n">
        <v>21</v>
      </c>
      <c r="B285" s="25" t="s">
        <v>80</v>
      </c>
      <c r="C285" s="25" t="s">
        <v>18</v>
      </c>
      <c r="D285" s="25" t="s">
        <v>39</v>
      </c>
      <c r="E285" s="25" t="n">
        <v>120</v>
      </c>
      <c r="F285" s="26" t="n">
        <v>15075.04</v>
      </c>
      <c r="G285" s="26" t="n">
        <v>1163.08</v>
      </c>
      <c r="H285" s="25" t="n">
        <v>63</v>
      </c>
      <c r="I285" s="26" t="n">
        <v>2822.05</v>
      </c>
      <c r="J285" s="25" t="n">
        <v>30</v>
      </c>
    </row>
    <row r="286" customFormat="false" ht="15" hidden="false" customHeight="false" outlineLevel="0" collapsed="false">
      <c r="A286" s="25" t="n">
        <v>21</v>
      </c>
      <c r="B286" s="25" t="s">
        <v>80</v>
      </c>
      <c r="C286" s="25" t="s">
        <v>18</v>
      </c>
      <c r="D286" s="25" t="s">
        <v>45</v>
      </c>
      <c r="E286" s="25" t="n">
        <v>270</v>
      </c>
      <c r="F286" s="26" t="n">
        <v>234595.45</v>
      </c>
      <c r="G286" s="26" t="n">
        <v>14086.19</v>
      </c>
      <c r="H286" s="25" t="n">
        <v>742</v>
      </c>
      <c r="I286" s="26" t="n">
        <v>26837.72</v>
      </c>
      <c r="J286" s="25" t="n">
        <v>0</v>
      </c>
    </row>
    <row r="287" customFormat="false" ht="15" hidden="false" customHeight="false" outlineLevel="0" collapsed="false">
      <c r="A287" s="25" t="n">
        <v>21</v>
      </c>
      <c r="B287" s="25" t="s">
        <v>80</v>
      </c>
      <c r="C287" s="25" t="s">
        <v>18</v>
      </c>
      <c r="D287" s="25" t="s">
        <v>51</v>
      </c>
      <c r="E287" s="25" t="n">
        <v>270</v>
      </c>
      <c r="F287" s="26" t="n">
        <v>6162.4</v>
      </c>
      <c r="G287" s="26" t="n">
        <v>652.18</v>
      </c>
      <c r="H287" s="25" t="n">
        <v>490</v>
      </c>
      <c r="I287" s="26" t="n">
        <v>897.25</v>
      </c>
      <c r="J287" s="25" t="n">
        <v>30</v>
      </c>
    </row>
    <row r="288" customFormat="false" ht="15" hidden="false" customHeight="false" outlineLevel="0" collapsed="false">
      <c r="A288" s="25" t="n">
        <v>21</v>
      </c>
      <c r="B288" s="25" t="s">
        <v>80</v>
      </c>
      <c r="C288" s="25" t="s">
        <v>15</v>
      </c>
      <c r="D288" s="25" t="s">
        <v>39</v>
      </c>
      <c r="E288" s="25" t="n">
        <v>240</v>
      </c>
      <c r="F288" s="26" t="n">
        <v>30707.06</v>
      </c>
      <c r="G288" s="26" t="n">
        <v>2297.37</v>
      </c>
      <c r="H288" s="25" t="n">
        <v>468</v>
      </c>
      <c r="I288" s="26" t="n">
        <v>5748.36</v>
      </c>
      <c r="J288" s="25" t="n">
        <v>30</v>
      </c>
    </row>
    <row r="289" customFormat="false" ht="15" hidden="false" customHeight="false" outlineLevel="0" collapsed="false">
      <c r="A289" s="25" t="n">
        <v>21</v>
      </c>
      <c r="B289" s="25" t="s">
        <v>80</v>
      </c>
      <c r="C289" s="25" t="s">
        <v>15</v>
      </c>
      <c r="D289" s="25" t="s">
        <v>45</v>
      </c>
      <c r="E289" s="25" t="n">
        <v>90</v>
      </c>
      <c r="F289" s="26" t="n">
        <v>55989.41</v>
      </c>
      <c r="G289" s="26" t="n">
        <v>3127.49</v>
      </c>
      <c r="H289" s="25" t="n">
        <v>460</v>
      </c>
      <c r="I289" s="26" t="n">
        <v>6405.19</v>
      </c>
      <c r="J289" s="25" t="n">
        <v>30</v>
      </c>
    </row>
    <row r="290" customFormat="false" ht="15" hidden="false" customHeight="false" outlineLevel="0" collapsed="false">
      <c r="A290" s="25" t="n">
        <v>21</v>
      </c>
      <c r="B290" s="25" t="s">
        <v>80</v>
      </c>
      <c r="C290" s="25" t="s">
        <v>15</v>
      </c>
      <c r="D290" s="25" t="s">
        <v>51</v>
      </c>
      <c r="E290" s="25" t="n">
        <v>390</v>
      </c>
      <c r="F290" s="26" t="n">
        <v>7638.98</v>
      </c>
      <c r="G290" s="26" t="n">
        <v>848.64</v>
      </c>
      <c r="H290" s="25" t="n">
        <v>653</v>
      </c>
      <c r="I290" s="26" t="n">
        <v>1112.24</v>
      </c>
      <c r="J290" s="25" t="n">
        <v>30</v>
      </c>
    </row>
    <row r="291" customFormat="false" ht="15" hidden="false" customHeight="false" outlineLevel="0" collapsed="false">
      <c r="A291" s="25" t="n">
        <v>21</v>
      </c>
      <c r="B291" s="25" t="s">
        <v>80</v>
      </c>
      <c r="C291" s="25" t="s">
        <v>19</v>
      </c>
      <c r="D291" s="25" t="s">
        <v>39</v>
      </c>
      <c r="E291" s="25" t="n">
        <v>120</v>
      </c>
      <c r="F291" s="26" t="n">
        <v>14115.53</v>
      </c>
      <c r="G291" s="26" t="n">
        <v>1053.03</v>
      </c>
      <c r="H291" s="25" t="n">
        <v>756</v>
      </c>
      <c r="I291" s="26" t="n">
        <v>2642.43</v>
      </c>
      <c r="J291" s="25" t="n">
        <v>30</v>
      </c>
    </row>
    <row r="292" customFormat="false" ht="15" hidden="false" customHeight="false" outlineLevel="0" collapsed="false">
      <c r="A292" s="25" t="n">
        <v>21</v>
      </c>
      <c r="B292" s="25" t="s">
        <v>80</v>
      </c>
      <c r="C292" s="25" t="s">
        <v>19</v>
      </c>
      <c r="D292" s="25" t="s">
        <v>51</v>
      </c>
      <c r="E292" s="25" t="n">
        <v>600</v>
      </c>
      <c r="F292" s="26" t="n">
        <v>11133.89</v>
      </c>
      <c r="G292" s="26" t="n">
        <v>1240.59</v>
      </c>
      <c r="H292" s="25" t="n">
        <v>3952</v>
      </c>
      <c r="I292" s="26" t="n">
        <v>1621.09</v>
      </c>
      <c r="J292" s="25" t="n">
        <v>150</v>
      </c>
    </row>
    <row r="293" customFormat="false" ht="15" hidden="false" customHeight="false" outlineLevel="0" collapsed="false">
      <c r="A293" s="25" t="n">
        <v>21</v>
      </c>
      <c r="B293" s="25" t="s">
        <v>80</v>
      </c>
      <c r="C293" s="25" t="s">
        <v>16</v>
      </c>
      <c r="D293" s="25" t="s">
        <v>39</v>
      </c>
      <c r="E293" s="25" t="n">
        <v>150</v>
      </c>
      <c r="F293" s="26" t="n">
        <v>24122.04</v>
      </c>
      <c r="G293" s="26" t="n">
        <v>1788.43</v>
      </c>
      <c r="H293" s="25" t="n">
        <v>116</v>
      </c>
      <c r="I293" s="26" t="n">
        <v>4515.65</v>
      </c>
      <c r="J293" s="25" t="n">
        <v>0</v>
      </c>
    </row>
    <row r="294" customFormat="false" ht="15" hidden="false" customHeight="false" outlineLevel="0" collapsed="false">
      <c r="A294" s="25" t="n">
        <v>21</v>
      </c>
      <c r="B294" s="25" t="s">
        <v>80</v>
      </c>
      <c r="C294" s="25" t="s">
        <v>16</v>
      </c>
      <c r="D294" s="25" t="s">
        <v>45</v>
      </c>
      <c r="E294" s="25" t="n">
        <v>90</v>
      </c>
      <c r="F294" s="26" t="n">
        <v>47741.61</v>
      </c>
      <c r="G294" s="26" t="n">
        <v>2804.36</v>
      </c>
      <c r="H294" s="25" t="n">
        <v>330</v>
      </c>
      <c r="I294" s="26" t="n">
        <v>5461.64</v>
      </c>
      <c r="J294" s="25" t="n">
        <v>30</v>
      </c>
    </row>
    <row r="295" customFormat="false" ht="15" hidden="false" customHeight="false" outlineLevel="0" collapsed="false">
      <c r="A295" s="25" t="n">
        <v>21</v>
      </c>
      <c r="B295" s="25" t="s">
        <v>80</v>
      </c>
      <c r="C295" s="25" t="s">
        <v>16</v>
      </c>
      <c r="D295" s="25" t="s">
        <v>51</v>
      </c>
      <c r="E295" s="25" t="n">
        <v>420</v>
      </c>
      <c r="F295" s="26" t="n">
        <v>8429.68</v>
      </c>
      <c r="G295" s="26" t="n">
        <v>897.37</v>
      </c>
      <c r="H295" s="25" t="n">
        <v>1033</v>
      </c>
      <c r="I295" s="26" t="n">
        <v>1227.36</v>
      </c>
      <c r="J295" s="25" t="n">
        <v>0</v>
      </c>
    </row>
    <row r="296" customFormat="false" ht="15" hidden="false" customHeight="false" outlineLevel="0" collapsed="false">
      <c r="A296" s="25" t="n">
        <v>22</v>
      </c>
      <c r="B296" s="25" t="s">
        <v>81</v>
      </c>
      <c r="C296" s="25" t="s">
        <v>17</v>
      </c>
      <c r="D296" s="25" t="s">
        <v>39</v>
      </c>
      <c r="E296" s="25" t="n">
        <v>496</v>
      </c>
      <c r="F296" s="26" t="n">
        <v>62545.44</v>
      </c>
      <c r="G296" s="26" t="n">
        <v>4784.25</v>
      </c>
      <c r="H296" s="25" t="n">
        <v>959</v>
      </c>
      <c r="I296" s="26" t="n">
        <v>11708.51</v>
      </c>
      <c r="J296" s="25" t="n">
        <v>0</v>
      </c>
    </row>
    <row r="297" customFormat="false" ht="15" hidden="false" customHeight="false" outlineLevel="0" collapsed="false">
      <c r="A297" s="25" t="n">
        <v>22</v>
      </c>
      <c r="B297" s="25" t="s">
        <v>81</v>
      </c>
      <c r="C297" s="25" t="s">
        <v>17</v>
      </c>
      <c r="D297" s="25" t="s">
        <v>45</v>
      </c>
      <c r="E297" s="25" t="n">
        <v>93</v>
      </c>
      <c r="F297" s="26" t="n">
        <v>61744.09</v>
      </c>
      <c r="G297" s="26" t="n">
        <v>3721.34</v>
      </c>
      <c r="H297" s="25" t="n">
        <v>0</v>
      </c>
      <c r="I297" s="26" t="n">
        <v>7063.52</v>
      </c>
      <c r="J297" s="25" t="n">
        <v>0</v>
      </c>
    </row>
    <row r="298" customFormat="false" ht="15" hidden="false" customHeight="false" outlineLevel="0" collapsed="false">
      <c r="A298" s="25" t="n">
        <v>22</v>
      </c>
      <c r="B298" s="25" t="s">
        <v>81</v>
      </c>
      <c r="C298" s="25" t="s">
        <v>17</v>
      </c>
      <c r="D298" s="25" t="s">
        <v>51</v>
      </c>
      <c r="E298" s="25" t="n">
        <v>279</v>
      </c>
      <c r="F298" s="26" t="n">
        <v>4994.66</v>
      </c>
      <c r="G298" s="26" t="n">
        <v>563.77</v>
      </c>
      <c r="H298" s="25" t="n">
        <v>189</v>
      </c>
      <c r="I298" s="26" t="n">
        <v>727.22</v>
      </c>
      <c r="J298" s="25" t="n">
        <v>0</v>
      </c>
    </row>
    <row r="299" customFormat="false" ht="15" hidden="false" customHeight="false" outlineLevel="0" collapsed="false">
      <c r="A299" s="25" t="n">
        <v>22</v>
      </c>
      <c r="B299" s="25" t="s">
        <v>81</v>
      </c>
      <c r="C299" s="25" t="s">
        <v>18</v>
      </c>
      <c r="D299" s="25" t="s">
        <v>39</v>
      </c>
      <c r="E299" s="25" t="n">
        <v>124</v>
      </c>
      <c r="F299" s="26" t="n">
        <v>14072.19</v>
      </c>
      <c r="G299" s="26" t="n">
        <v>1093.93</v>
      </c>
      <c r="H299" s="25" t="n">
        <v>321</v>
      </c>
      <c r="I299" s="26" t="n">
        <v>2634.31</v>
      </c>
      <c r="J299" s="25" t="n">
        <v>31</v>
      </c>
    </row>
    <row r="300" customFormat="false" ht="15" hidden="false" customHeight="false" outlineLevel="0" collapsed="false">
      <c r="A300" s="25" t="n">
        <v>22</v>
      </c>
      <c r="B300" s="25" t="s">
        <v>81</v>
      </c>
      <c r="C300" s="25" t="s">
        <v>18</v>
      </c>
      <c r="D300" s="25" t="s">
        <v>45</v>
      </c>
      <c r="E300" s="25" t="n">
        <v>279</v>
      </c>
      <c r="F300" s="26" t="n">
        <v>215283.69</v>
      </c>
      <c r="G300" s="26" t="n">
        <v>12905.7</v>
      </c>
      <c r="H300" s="25" t="n">
        <v>582</v>
      </c>
      <c r="I300" s="26" t="n">
        <v>24628.45</v>
      </c>
      <c r="J300" s="25" t="n">
        <v>0</v>
      </c>
    </row>
    <row r="301" customFormat="false" ht="15" hidden="false" customHeight="false" outlineLevel="0" collapsed="false">
      <c r="A301" s="25" t="n">
        <v>22</v>
      </c>
      <c r="B301" s="25" t="s">
        <v>81</v>
      </c>
      <c r="C301" s="25" t="s">
        <v>18</v>
      </c>
      <c r="D301" s="25" t="s">
        <v>51</v>
      </c>
      <c r="E301" s="25" t="n">
        <v>279</v>
      </c>
      <c r="F301" s="26" t="n">
        <v>5537.61</v>
      </c>
      <c r="G301" s="26" t="n">
        <v>586.42</v>
      </c>
      <c r="H301" s="25" t="n">
        <v>654</v>
      </c>
      <c r="I301" s="26" t="n">
        <v>806.28</v>
      </c>
      <c r="J301" s="25" t="n">
        <v>31</v>
      </c>
    </row>
    <row r="302" customFormat="false" ht="15" hidden="false" customHeight="false" outlineLevel="0" collapsed="false">
      <c r="A302" s="25" t="n">
        <v>22</v>
      </c>
      <c r="B302" s="25" t="s">
        <v>81</v>
      </c>
      <c r="C302" s="25" t="s">
        <v>15</v>
      </c>
      <c r="D302" s="25" t="s">
        <v>39</v>
      </c>
      <c r="E302" s="25" t="n">
        <v>248</v>
      </c>
      <c r="F302" s="26" t="n">
        <v>28274.52</v>
      </c>
      <c r="G302" s="26" t="n">
        <v>2115.52</v>
      </c>
      <c r="H302" s="25" t="n">
        <v>506</v>
      </c>
      <c r="I302" s="26" t="n">
        <v>5292.99</v>
      </c>
      <c r="J302" s="25" t="n">
        <v>31</v>
      </c>
    </row>
    <row r="303" customFormat="false" ht="15" hidden="false" customHeight="false" outlineLevel="0" collapsed="false">
      <c r="A303" s="25" t="n">
        <v>22</v>
      </c>
      <c r="B303" s="25" t="s">
        <v>81</v>
      </c>
      <c r="C303" s="25" t="s">
        <v>15</v>
      </c>
      <c r="D303" s="25" t="s">
        <v>45</v>
      </c>
      <c r="E303" s="25" t="n">
        <v>93</v>
      </c>
      <c r="F303" s="26" t="n">
        <v>51932.48</v>
      </c>
      <c r="G303" s="26" t="n">
        <v>2920.58</v>
      </c>
      <c r="H303" s="25" t="n">
        <v>265</v>
      </c>
      <c r="I303" s="26" t="n">
        <v>5941.08</v>
      </c>
      <c r="J303" s="25" t="n">
        <v>27</v>
      </c>
    </row>
    <row r="304" customFormat="false" ht="15" hidden="false" customHeight="false" outlineLevel="0" collapsed="false">
      <c r="A304" s="25" t="n">
        <v>22</v>
      </c>
      <c r="B304" s="25" t="s">
        <v>81</v>
      </c>
      <c r="C304" s="25" t="s">
        <v>15</v>
      </c>
      <c r="D304" s="25" t="s">
        <v>51</v>
      </c>
      <c r="E304" s="25" t="n">
        <v>403</v>
      </c>
      <c r="F304" s="26" t="n">
        <v>6891.48</v>
      </c>
      <c r="G304" s="26" t="n">
        <v>762.7</v>
      </c>
      <c r="H304" s="25" t="n">
        <v>581</v>
      </c>
      <c r="I304" s="26" t="n">
        <v>1003.4</v>
      </c>
      <c r="J304" s="25" t="n">
        <v>31</v>
      </c>
    </row>
    <row r="305" customFormat="false" ht="15" hidden="false" customHeight="false" outlineLevel="0" collapsed="false">
      <c r="A305" s="25" t="n">
        <v>22</v>
      </c>
      <c r="B305" s="25" t="s">
        <v>81</v>
      </c>
      <c r="C305" s="25" t="s">
        <v>19</v>
      </c>
      <c r="D305" s="25" t="s">
        <v>39</v>
      </c>
      <c r="E305" s="25" t="n">
        <v>124</v>
      </c>
      <c r="F305" s="26" t="n">
        <v>13255.47</v>
      </c>
      <c r="G305" s="26" t="n">
        <v>983.64</v>
      </c>
      <c r="H305" s="25" t="n">
        <v>756</v>
      </c>
      <c r="I305" s="26" t="n">
        <v>2481.42</v>
      </c>
      <c r="J305" s="25" t="n">
        <v>31</v>
      </c>
    </row>
    <row r="306" customFormat="false" ht="15" hidden="false" customHeight="false" outlineLevel="0" collapsed="false">
      <c r="A306" s="25" t="n">
        <v>22</v>
      </c>
      <c r="B306" s="25" t="s">
        <v>81</v>
      </c>
      <c r="C306" s="25" t="s">
        <v>19</v>
      </c>
      <c r="D306" s="25" t="s">
        <v>51</v>
      </c>
      <c r="E306" s="25" t="n">
        <v>620</v>
      </c>
      <c r="F306" s="26" t="n">
        <v>10108.24</v>
      </c>
      <c r="G306" s="26" t="n">
        <v>1129.03</v>
      </c>
      <c r="H306" s="25" t="n">
        <v>4244</v>
      </c>
      <c r="I306" s="26" t="n">
        <v>1471.76</v>
      </c>
      <c r="J306" s="25" t="n">
        <v>155</v>
      </c>
    </row>
    <row r="307" customFormat="false" ht="15" hidden="false" customHeight="false" outlineLevel="0" collapsed="false">
      <c r="A307" s="25" t="n">
        <v>22</v>
      </c>
      <c r="B307" s="25" t="s">
        <v>81</v>
      </c>
      <c r="C307" s="25" t="s">
        <v>16</v>
      </c>
      <c r="D307" s="25" t="s">
        <v>39</v>
      </c>
      <c r="E307" s="25" t="n">
        <v>155</v>
      </c>
      <c r="F307" s="26" t="n">
        <v>22591</v>
      </c>
      <c r="G307" s="26" t="n">
        <v>1674.06</v>
      </c>
      <c r="H307" s="25" t="n">
        <v>620</v>
      </c>
      <c r="I307" s="26" t="n">
        <v>4229.04</v>
      </c>
      <c r="J307" s="25" t="n">
        <v>0</v>
      </c>
    </row>
    <row r="308" customFormat="false" ht="15" hidden="false" customHeight="false" outlineLevel="0" collapsed="false">
      <c r="A308" s="25" t="n">
        <v>22</v>
      </c>
      <c r="B308" s="25" t="s">
        <v>81</v>
      </c>
      <c r="C308" s="25" t="s">
        <v>16</v>
      </c>
      <c r="D308" s="25" t="s">
        <v>45</v>
      </c>
      <c r="E308" s="25" t="n">
        <v>93</v>
      </c>
      <c r="F308" s="26" t="n">
        <v>42767.73</v>
      </c>
      <c r="G308" s="26" t="n">
        <v>2519.33</v>
      </c>
      <c r="H308" s="25" t="n">
        <v>393</v>
      </c>
      <c r="I308" s="26" t="n">
        <v>4892.63</v>
      </c>
      <c r="J308" s="25" t="n">
        <v>31</v>
      </c>
    </row>
    <row r="309" customFormat="false" ht="15" hidden="false" customHeight="false" outlineLevel="0" collapsed="false">
      <c r="A309" s="25" t="n">
        <v>22</v>
      </c>
      <c r="B309" s="25" t="s">
        <v>81</v>
      </c>
      <c r="C309" s="25" t="s">
        <v>16</v>
      </c>
      <c r="D309" s="25" t="s">
        <v>51</v>
      </c>
      <c r="E309" s="25" t="n">
        <v>434</v>
      </c>
      <c r="F309" s="26" t="n">
        <v>7668.54</v>
      </c>
      <c r="G309" s="26" t="n">
        <v>817.89</v>
      </c>
      <c r="H309" s="25" t="n">
        <v>1876</v>
      </c>
      <c r="I309" s="26" t="n">
        <v>1116.54</v>
      </c>
      <c r="J309" s="25" t="n">
        <v>0</v>
      </c>
    </row>
    <row r="310" customFormat="false" ht="15" hidden="false" customHeight="false" outlineLevel="0" collapsed="false">
      <c r="A310" s="25" t="n">
        <v>23</v>
      </c>
      <c r="B310" s="25" t="s">
        <v>82</v>
      </c>
      <c r="C310" s="25" t="s">
        <v>17</v>
      </c>
      <c r="D310" s="25" t="s">
        <v>39</v>
      </c>
      <c r="E310" s="25" t="n">
        <v>480</v>
      </c>
      <c r="F310" s="26" t="n">
        <v>53266.68</v>
      </c>
      <c r="G310" s="26" t="n">
        <v>4078.95</v>
      </c>
      <c r="H310" s="25" t="n">
        <v>892</v>
      </c>
      <c r="I310" s="26" t="n">
        <v>9971.52</v>
      </c>
      <c r="J310" s="25" t="n">
        <v>0</v>
      </c>
    </row>
    <row r="311" customFormat="false" ht="15" hidden="false" customHeight="false" outlineLevel="0" collapsed="false">
      <c r="A311" s="25" t="n">
        <v>23</v>
      </c>
      <c r="B311" s="25" t="s">
        <v>82</v>
      </c>
      <c r="C311" s="25" t="s">
        <v>17</v>
      </c>
      <c r="D311" s="25" t="s">
        <v>45</v>
      </c>
      <c r="E311" s="25" t="n">
        <v>90</v>
      </c>
      <c r="F311" s="26" t="n">
        <v>53792.66</v>
      </c>
      <c r="G311" s="26" t="n">
        <v>3267.46</v>
      </c>
      <c r="H311" s="25" t="n">
        <v>184</v>
      </c>
      <c r="I311" s="26" t="n">
        <v>6153.88</v>
      </c>
      <c r="J311" s="25" t="n">
        <v>0</v>
      </c>
    </row>
    <row r="312" customFormat="false" ht="15" hidden="false" customHeight="false" outlineLevel="0" collapsed="false">
      <c r="A312" s="25" t="n">
        <v>23</v>
      </c>
      <c r="B312" s="25" t="s">
        <v>82</v>
      </c>
      <c r="C312" s="25" t="s">
        <v>17</v>
      </c>
      <c r="D312" s="25" t="s">
        <v>51</v>
      </c>
      <c r="E312" s="25" t="n">
        <v>270</v>
      </c>
      <c r="F312" s="26" t="n">
        <v>4381.21</v>
      </c>
      <c r="G312" s="26" t="n">
        <v>498.35</v>
      </c>
      <c r="H312" s="25" t="n">
        <v>305</v>
      </c>
      <c r="I312" s="26" t="n">
        <v>637.9</v>
      </c>
      <c r="J312" s="25" t="n">
        <v>0</v>
      </c>
    </row>
    <row r="313" customFormat="false" ht="15" hidden="false" customHeight="false" outlineLevel="0" collapsed="false">
      <c r="A313" s="25" t="n">
        <v>23</v>
      </c>
      <c r="B313" s="25" t="s">
        <v>82</v>
      </c>
      <c r="C313" s="25" t="s">
        <v>18</v>
      </c>
      <c r="D313" s="25" t="s">
        <v>39</v>
      </c>
      <c r="E313" s="25" t="n">
        <v>120</v>
      </c>
      <c r="F313" s="26" t="n">
        <v>11815.4</v>
      </c>
      <c r="G313" s="26" t="n">
        <v>917.97</v>
      </c>
      <c r="H313" s="25" t="n">
        <v>250</v>
      </c>
      <c r="I313" s="26" t="n">
        <v>2211.84</v>
      </c>
      <c r="J313" s="25" t="n">
        <v>30</v>
      </c>
    </row>
    <row r="314" customFormat="false" ht="15" hidden="false" customHeight="false" outlineLevel="0" collapsed="false">
      <c r="A314" s="25" t="n">
        <v>23</v>
      </c>
      <c r="B314" s="25" t="s">
        <v>82</v>
      </c>
      <c r="C314" s="25" t="s">
        <v>18</v>
      </c>
      <c r="D314" s="25" t="s">
        <v>45</v>
      </c>
      <c r="E314" s="25" t="n">
        <v>270</v>
      </c>
      <c r="F314" s="26" t="n">
        <v>183586.33</v>
      </c>
      <c r="G314" s="26" t="n">
        <v>10970.25</v>
      </c>
      <c r="H314" s="25" t="n">
        <v>268</v>
      </c>
      <c r="I314" s="26" t="n">
        <v>21002.28</v>
      </c>
      <c r="J314" s="25" t="n">
        <v>0</v>
      </c>
    </row>
    <row r="315" customFormat="false" ht="15" hidden="false" customHeight="false" outlineLevel="0" collapsed="false">
      <c r="A315" s="25" t="n">
        <v>23</v>
      </c>
      <c r="B315" s="25" t="s">
        <v>82</v>
      </c>
      <c r="C315" s="25" t="s">
        <v>18</v>
      </c>
      <c r="D315" s="25" t="s">
        <v>51</v>
      </c>
      <c r="E315" s="25" t="n">
        <v>270</v>
      </c>
      <c r="F315" s="26" t="n">
        <v>4794.57</v>
      </c>
      <c r="G315" s="26" t="n">
        <v>507.5</v>
      </c>
      <c r="H315" s="25" t="n">
        <v>898</v>
      </c>
      <c r="I315" s="26" t="n">
        <v>698.09</v>
      </c>
      <c r="J315" s="25" t="n">
        <v>30</v>
      </c>
    </row>
    <row r="316" customFormat="false" ht="15" hidden="false" customHeight="false" outlineLevel="0" collapsed="false">
      <c r="A316" s="25" t="n">
        <v>23</v>
      </c>
      <c r="B316" s="25" t="s">
        <v>82</v>
      </c>
      <c r="C316" s="25" t="s">
        <v>15</v>
      </c>
      <c r="D316" s="25" t="s">
        <v>39</v>
      </c>
      <c r="E316" s="25" t="n">
        <v>240</v>
      </c>
      <c r="F316" s="26" t="n">
        <v>24107.22</v>
      </c>
      <c r="G316" s="26" t="n">
        <v>1803.25</v>
      </c>
      <c r="H316" s="25" t="n">
        <v>395</v>
      </c>
      <c r="I316" s="26" t="n">
        <v>4512.87</v>
      </c>
      <c r="J316" s="25" t="n">
        <v>30</v>
      </c>
    </row>
    <row r="317" customFormat="false" ht="15" hidden="false" customHeight="false" outlineLevel="0" collapsed="false">
      <c r="A317" s="25" t="n">
        <v>23</v>
      </c>
      <c r="B317" s="25" t="s">
        <v>82</v>
      </c>
      <c r="C317" s="25" t="s">
        <v>15</v>
      </c>
      <c r="D317" s="25" t="s">
        <v>45</v>
      </c>
      <c r="E317" s="25" t="n">
        <v>90</v>
      </c>
      <c r="F317" s="26" t="n">
        <v>46662.16</v>
      </c>
      <c r="G317" s="26" t="n">
        <v>2611.51</v>
      </c>
      <c r="H317" s="25" t="n">
        <v>161</v>
      </c>
      <c r="I317" s="26" t="n">
        <v>5338.15</v>
      </c>
      <c r="J317" s="25" t="n">
        <v>0</v>
      </c>
    </row>
    <row r="318" customFormat="false" ht="15" hidden="false" customHeight="false" outlineLevel="0" collapsed="false">
      <c r="A318" s="25" t="n">
        <v>23</v>
      </c>
      <c r="B318" s="25" t="s">
        <v>82</v>
      </c>
      <c r="C318" s="25" t="s">
        <v>15</v>
      </c>
      <c r="D318" s="25" t="s">
        <v>51</v>
      </c>
      <c r="E318" s="25" t="n">
        <v>390</v>
      </c>
      <c r="F318" s="26" t="n">
        <v>6034.27</v>
      </c>
      <c r="G318" s="26" t="n">
        <v>669.43</v>
      </c>
      <c r="H318" s="25" t="n">
        <v>393</v>
      </c>
      <c r="I318" s="26" t="n">
        <v>878.59</v>
      </c>
      <c r="J318" s="25" t="n">
        <v>30</v>
      </c>
    </row>
    <row r="319" customFormat="false" ht="15" hidden="false" customHeight="false" outlineLevel="0" collapsed="false">
      <c r="A319" s="25" t="n">
        <v>23</v>
      </c>
      <c r="B319" s="25" t="s">
        <v>82</v>
      </c>
      <c r="C319" s="25" t="s">
        <v>19</v>
      </c>
      <c r="D319" s="25" t="s">
        <v>39</v>
      </c>
      <c r="E319" s="25" t="n">
        <v>120</v>
      </c>
      <c r="F319" s="26" t="n">
        <v>10969.16</v>
      </c>
      <c r="G319" s="26" t="n">
        <v>813.95</v>
      </c>
      <c r="H319" s="25" t="n">
        <v>497</v>
      </c>
      <c r="I319" s="26" t="n">
        <v>2053.43</v>
      </c>
      <c r="J319" s="25" t="n">
        <v>30</v>
      </c>
    </row>
    <row r="320" customFormat="false" ht="15" hidden="false" customHeight="false" outlineLevel="0" collapsed="false">
      <c r="A320" s="25" t="n">
        <v>23</v>
      </c>
      <c r="B320" s="25" t="s">
        <v>82</v>
      </c>
      <c r="C320" s="25" t="s">
        <v>19</v>
      </c>
      <c r="D320" s="25" t="s">
        <v>51</v>
      </c>
      <c r="E320" s="25" t="n">
        <v>600</v>
      </c>
      <c r="F320" s="26" t="n">
        <v>8760.03</v>
      </c>
      <c r="G320" s="26" t="n">
        <v>977.19</v>
      </c>
      <c r="H320" s="25" t="n">
        <v>3921</v>
      </c>
      <c r="I320" s="26" t="n">
        <v>1275.46</v>
      </c>
      <c r="J320" s="25" t="n">
        <v>150</v>
      </c>
    </row>
    <row r="321" customFormat="false" ht="15" hidden="false" customHeight="false" outlineLevel="0" collapsed="false">
      <c r="A321" s="25" t="n">
        <v>23</v>
      </c>
      <c r="B321" s="25" t="s">
        <v>82</v>
      </c>
      <c r="C321" s="25" t="s">
        <v>16</v>
      </c>
      <c r="D321" s="25" t="s">
        <v>39</v>
      </c>
      <c r="E321" s="25" t="n">
        <v>150</v>
      </c>
      <c r="F321" s="26" t="n">
        <v>19462.78</v>
      </c>
      <c r="G321" s="26" t="n">
        <v>1436.42</v>
      </c>
      <c r="H321" s="25" t="n">
        <v>195</v>
      </c>
      <c r="I321" s="26" t="n">
        <v>3643.43</v>
      </c>
      <c r="J321" s="25" t="n">
        <v>0</v>
      </c>
    </row>
    <row r="322" customFormat="false" ht="15" hidden="false" customHeight="false" outlineLevel="0" collapsed="false">
      <c r="A322" s="25" t="n">
        <v>23</v>
      </c>
      <c r="B322" s="25" t="s">
        <v>82</v>
      </c>
      <c r="C322" s="25" t="s">
        <v>16</v>
      </c>
      <c r="D322" s="25" t="s">
        <v>45</v>
      </c>
      <c r="E322" s="25" t="n">
        <v>90</v>
      </c>
      <c r="F322" s="26" t="n">
        <v>36530.26</v>
      </c>
      <c r="G322" s="26" t="n">
        <v>2144.45</v>
      </c>
      <c r="H322" s="25" t="n">
        <v>358</v>
      </c>
      <c r="I322" s="26" t="n">
        <v>4179.06</v>
      </c>
      <c r="J322" s="25" t="n">
        <v>30</v>
      </c>
    </row>
    <row r="323" customFormat="false" ht="15" hidden="false" customHeight="false" outlineLevel="0" collapsed="false">
      <c r="A323" s="25" t="n">
        <v>23</v>
      </c>
      <c r="B323" s="25" t="s">
        <v>82</v>
      </c>
      <c r="C323" s="25" t="s">
        <v>16</v>
      </c>
      <c r="D323" s="25" t="s">
        <v>51</v>
      </c>
      <c r="E323" s="25" t="n">
        <v>420</v>
      </c>
      <c r="F323" s="26" t="n">
        <v>6647.56</v>
      </c>
      <c r="G323" s="26" t="n">
        <v>710.65</v>
      </c>
      <c r="H323" s="25" t="n">
        <v>760</v>
      </c>
      <c r="I323" s="26" t="n">
        <v>967.88</v>
      </c>
      <c r="J323" s="25" t="n">
        <v>0</v>
      </c>
    </row>
    <row r="324" customFormat="false" ht="15" hidden="false" customHeight="false" outlineLevel="0" collapsed="false">
      <c r="A324" s="25" t="n">
        <v>24</v>
      </c>
      <c r="B324" s="25" t="s">
        <v>83</v>
      </c>
      <c r="C324" s="25" t="s">
        <v>17</v>
      </c>
      <c r="D324" s="25" t="s">
        <v>39</v>
      </c>
      <c r="E324" s="25" t="n">
        <v>496</v>
      </c>
      <c r="F324" s="26" t="n">
        <v>52411.64</v>
      </c>
      <c r="G324" s="26" t="n">
        <v>4018.17</v>
      </c>
      <c r="H324" s="25" t="n">
        <v>399</v>
      </c>
      <c r="I324" s="26" t="n">
        <v>9811.46</v>
      </c>
      <c r="J324" s="25" t="n">
        <v>0</v>
      </c>
    </row>
    <row r="325" customFormat="false" ht="15" hidden="false" customHeight="false" outlineLevel="0" collapsed="false">
      <c r="A325" s="25" t="n">
        <v>24</v>
      </c>
      <c r="B325" s="25" t="s">
        <v>83</v>
      </c>
      <c r="C325" s="25" t="s">
        <v>17</v>
      </c>
      <c r="D325" s="25" t="s">
        <v>45</v>
      </c>
      <c r="E325" s="25" t="n">
        <v>93</v>
      </c>
      <c r="F325" s="26" t="n">
        <v>53281.82</v>
      </c>
      <c r="G325" s="26" t="n">
        <v>3225.59</v>
      </c>
      <c r="H325" s="25" t="n">
        <v>207</v>
      </c>
      <c r="I325" s="26" t="n">
        <v>6095.44</v>
      </c>
      <c r="J325" s="25" t="n">
        <v>0</v>
      </c>
    </row>
    <row r="326" customFormat="false" ht="15" hidden="false" customHeight="false" outlineLevel="0" collapsed="false">
      <c r="A326" s="25" t="n">
        <v>24</v>
      </c>
      <c r="B326" s="25" t="s">
        <v>83</v>
      </c>
      <c r="C326" s="25" t="s">
        <v>17</v>
      </c>
      <c r="D326" s="25" t="s">
        <v>51</v>
      </c>
      <c r="E326" s="25" t="n">
        <v>279</v>
      </c>
      <c r="F326" s="26" t="n">
        <v>4247.5</v>
      </c>
      <c r="G326" s="26" t="n">
        <v>482.27</v>
      </c>
      <c r="H326" s="25" t="n">
        <v>240</v>
      </c>
      <c r="I326" s="26" t="n">
        <v>618.44</v>
      </c>
      <c r="J326" s="25" t="n">
        <v>0</v>
      </c>
    </row>
    <row r="327" customFormat="false" ht="15" hidden="false" customHeight="false" outlineLevel="0" collapsed="false">
      <c r="A327" s="25" t="n">
        <v>24</v>
      </c>
      <c r="B327" s="25" t="s">
        <v>83</v>
      </c>
      <c r="C327" s="25" t="s">
        <v>18</v>
      </c>
      <c r="D327" s="25" t="s">
        <v>39</v>
      </c>
      <c r="E327" s="25" t="n">
        <v>124</v>
      </c>
      <c r="F327" s="26" t="n">
        <v>11849.43</v>
      </c>
      <c r="G327" s="26" t="n">
        <v>915.77</v>
      </c>
      <c r="H327" s="25" t="n">
        <v>658</v>
      </c>
      <c r="I327" s="26" t="n">
        <v>2218.21</v>
      </c>
      <c r="J327" s="25" t="n">
        <v>31</v>
      </c>
    </row>
    <row r="328" customFormat="false" ht="15" hidden="false" customHeight="false" outlineLevel="0" collapsed="false">
      <c r="A328" s="25" t="n">
        <v>24</v>
      </c>
      <c r="B328" s="25" t="s">
        <v>83</v>
      </c>
      <c r="C328" s="25" t="s">
        <v>18</v>
      </c>
      <c r="D328" s="25" t="s">
        <v>45</v>
      </c>
      <c r="E328" s="25" t="n">
        <v>279</v>
      </c>
      <c r="F328" s="26" t="n">
        <v>177051.52</v>
      </c>
      <c r="G328" s="26" t="n">
        <v>10625.88</v>
      </c>
      <c r="H328" s="25" t="n">
        <v>637</v>
      </c>
      <c r="I328" s="26" t="n">
        <v>20254.69</v>
      </c>
      <c r="J328" s="25" t="n">
        <v>0</v>
      </c>
    </row>
    <row r="329" customFormat="false" ht="15" hidden="false" customHeight="false" outlineLevel="0" collapsed="false">
      <c r="A329" s="25" t="n">
        <v>24</v>
      </c>
      <c r="B329" s="25" t="s">
        <v>83</v>
      </c>
      <c r="C329" s="25" t="s">
        <v>18</v>
      </c>
      <c r="D329" s="25" t="s">
        <v>51</v>
      </c>
      <c r="E329" s="25" t="n">
        <v>279</v>
      </c>
      <c r="F329" s="26" t="n">
        <v>4739.77</v>
      </c>
      <c r="G329" s="26" t="n">
        <v>504.54</v>
      </c>
      <c r="H329" s="25" t="n">
        <v>660</v>
      </c>
      <c r="I329" s="26" t="n">
        <v>690.11</v>
      </c>
      <c r="J329" s="25" t="n">
        <v>31</v>
      </c>
    </row>
    <row r="330" customFormat="false" ht="15" hidden="false" customHeight="false" outlineLevel="0" collapsed="false">
      <c r="A330" s="25" t="n">
        <v>24</v>
      </c>
      <c r="B330" s="25" t="s">
        <v>83</v>
      </c>
      <c r="C330" s="25" t="s">
        <v>15</v>
      </c>
      <c r="D330" s="25" t="s">
        <v>39</v>
      </c>
      <c r="E330" s="25" t="n">
        <v>248</v>
      </c>
      <c r="F330" s="26" t="n">
        <v>23836.38</v>
      </c>
      <c r="G330" s="26" t="n">
        <v>1782.47</v>
      </c>
      <c r="H330" s="25" t="n">
        <v>473</v>
      </c>
      <c r="I330" s="26" t="n">
        <v>4462.17</v>
      </c>
      <c r="J330" s="25" t="n">
        <v>31</v>
      </c>
    </row>
    <row r="331" customFormat="false" ht="15" hidden="false" customHeight="false" outlineLevel="0" collapsed="false">
      <c r="A331" s="25" t="n">
        <v>24</v>
      </c>
      <c r="B331" s="25" t="s">
        <v>83</v>
      </c>
      <c r="C331" s="25" t="s">
        <v>15</v>
      </c>
      <c r="D331" s="25" t="s">
        <v>45</v>
      </c>
      <c r="E331" s="25" t="n">
        <v>93</v>
      </c>
      <c r="F331" s="26" t="n">
        <v>45958.99</v>
      </c>
      <c r="G331" s="26" t="n">
        <v>2568.71</v>
      </c>
      <c r="H331" s="25" t="n">
        <v>82</v>
      </c>
      <c r="I331" s="26" t="n">
        <v>5257.71</v>
      </c>
      <c r="J331" s="25" t="n">
        <v>0</v>
      </c>
    </row>
    <row r="332" customFormat="false" ht="15" hidden="false" customHeight="false" outlineLevel="0" collapsed="false">
      <c r="A332" s="25" t="n">
        <v>24</v>
      </c>
      <c r="B332" s="25" t="s">
        <v>83</v>
      </c>
      <c r="C332" s="25" t="s">
        <v>15</v>
      </c>
      <c r="D332" s="25" t="s">
        <v>51</v>
      </c>
      <c r="E332" s="25" t="n">
        <v>403</v>
      </c>
      <c r="F332" s="26" t="n">
        <v>5896.46</v>
      </c>
      <c r="G332" s="26" t="n">
        <v>652.7</v>
      </c>
      <c r="H332" s="25" t="n">
        <v>559</v>
      </c>
      <c r="I332" s="26" t="n">
        <v>858.52</v>
      </c>
      <c r="J332" s="25" t="n">
        <v>31</v>
      </c>
    </row>
    <row r="333" customFormat="false" ht="15" hidden="false" customHeight="false" outlineLevel="0" collapsed="false">
      <c r="A333" s="25" t="n">
        <v>24</v>
      </c>
      <c r="B333" s="25" t="s">
        <v>83</v>
      </c>
      <c r="C333" s="25" t="s">
        <v>19</v>
      </c>
      <c r="D333" s="25" t="s">
        <v>39</v>
      </c>
      <c r="E333" s="25" t="n">
        <v>124</v>
      </c>
      <c r="F333" s="26" t="n">
        <v>10849.62</v>
      </c>
      <c r="G333" s="26" t="n">
        <v>800.02</v>
      </c>
      <c r="H333" s="25" t="n">
        <v>958</v>
      </c>
      <c r="I333" s="26" t="n">
        <v>2031.05</v>
      </c>
      <c r="J333" s="25" t="n">
        <v>31</v>
      </c>
    </row>
    <row r="334" customFormat="false" ht="15" hidden="false" customHeight="false" outlineLevel="0" collapsed="false">
      <c r="A334" s="25" t="n">
        <v>24</v>
      </c>
      <c r="B334" s="25" t="s">
        <v>83</v>
      </c>
      <c r="C334" s="25" t="s">
        <v>19</v>
      </c>
      <c r="D334" s="25" t="s">
        <v>51</v>
      </c>
      <c r="E334" s="25" t="n">
        <v>620</v>
      </c>
      <c r="F334" s="26" t="n">
        <v>8604.62</v>
      </c>
      <c r="G334" s="26" t="n">
        <v>958.14</v>
      </c>
      <c r="H334" s="25" t="n">
        <v>4044</v>
      </c>
      <c r="I334" s="26" t="n">
        <v>1252.83</v>
      </c>
      <c r="J334" s="25" t="n">
        <v>155</v>
      </c>
    </row>
    <row r="335" customFormat="false" ht="15" hidden="false" customHeight="false" outlineLevel="0" collapsed="false">
      <c r="A335" s="25" t="n">
        <v>24</v>
      </c>
      <c r="B335" s="25" t="s">
        <v>83</v>
      </c>
      <c r="C335" s="25" t="s">
        <v>16</v>
      </c>
      <c r="D335" s="25" t="s">
        <v>39</v>
      </c>
      <c r="E335" s="25" t="n">
        <v>155</v>
      </c>
      <c r="F335" s="26" t="n">
        <v>19047.39</v>
      </c>
      <c r="G335" s="26" t="n">
        <v>1412.07</v>
      </c>
      <c r="H335" s="25" t="n">
        <v>428</v>
      </c>
      <c r="I335" s="26" t="n">
        <v>3565.67</v>
      </c>
      <c r="J335" s="25" t="n">
        <v>0</v>
      </c>
    </row>
    <row r="336" customFormat="false" ht="15" hidden="false" customHeight="false" outlineLevel="0" collapsed="false">
      <c r="A336" s="25" t="n">
        <v>24</v>
      </c>
      <c r="B336" s="25" t="s">
        <v>83</v>
      </c>
      <c r="C336" s="25" t="s">
        <v>16</v>
      </c>
      <c r="D336" s="25" t="s">
        <v>45</v>
      </c>
      <c r="E336" s="25" t="n">
        <v>93</v>
      </c>
      <c r="F336" s="26" t="n">
        <v>37005.26</v>
      </c>
      <c r="G336" s="26" t="n">
        <v>2175.86</v>
      </c>
      <c r="H336" s="25" t="n">
        <v>74</v>
      </c>
      <c r="I336" s="26" t="n">
        <v>4233.4</v>
      </c>
      <c r="J336" s="25" t="n">
        <v>31</v>
      </c>
    </row>
    <row r="337" customFormat="false" ht="15" hidden="false" customHeight="false" outlineLevel="0" collapsed="false">
      <c r="A337" s="25" t="n">
        <v>24</v>
      </c>
      <c r="B337" s="25" t="s">
        <v>83</v>
      </c>
      <c r="C337" s="25" t="s">
        <v>16</v>
      </c>
      <c r="D337" s="25" t="s">
        <v>51</v>
      </c>
      <c r="E337" s="25" t="n">
        <v>434</v>
      </c>
      <c r="F337" s="26" t="n">
        <v>6557.17</v>
      </c>
      <c r="G337" s="26" t="n">
        <v>700.15</v>
      </c>
      <c r="H337" s="25" t="n">
        <v>1108</v>
      </c>
      <c r="I337" s="26" t="n">
        <v>954.72</v>
      </c>
      <c r="J337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3"/>
    <col collapsed="false" customWidth="true" hidden="false" outlineLevel="0" max="14" min="14" style="0" width="16"/>
    <col collapsed="false" customWidth="true" hidden="false" outlineLevel="0" max="15" min="15" style="0" width="24"/>
    <col collapsed="false" customWidth="true" hidden="false" outlineLevel="0" max="16" min="16" style="0" width="3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15" hidden="false" customHeight="false" outlineLevel="0" collapsed="false">
      <c r="A1" s="23" t="s">
        <v>145</v>
      </c>
    </row>
    <row r="2" customFormat="false" ht="15" hidden="false" customHeight="false" outlineLevel="0" collapsed="false">
      <c r="D2" s="27" t="s">
        <v>146</v>
      </c>
      <c r="E2" s="27" t="s">
        <v>136</v>
      </c>
      <c r="G2" s="27" t="s">
        <v>147</v>
      </c>
      <c r="I2" s="27" t="s">
        <v>148</v>
      </c>
      <c r="K2" s="27" t="s">
        <v>137</v>
      </c>
      <c r="L2" s="27" t="s">
        <v>149</v>
      </c>
      <c r="N2" s="27" t="s">
        <v>37</v>
      </c>
      <c r="O2" s="27" t="s">
        <v>150</v>
      </c>
      <c r="Q2" s="27" t="s">
        <v>2</v>
      </c>
      <c r="R2" s="27" t="s">
        <v>151</v>
      </c>
    </row>
    <row r="3" customFormat="false" ht="15" hidden="false" customHeight="false" outlineLevel="0" collapsed="false">
      <c r="A3" s="25" t="s">
        <v>152</v>
      </c>
      <c r="B3" s="25" t="str">
        <f aca="false">IF(Dashboard!$C$4="All","*",Dashboard!$C$4)</f>
        <v>*</v>
      </c>
      <c r="D3" s="25" t="s">
        <v>6</v>
      </c>
      <c r="E3" s="25" t="n">
        <v>1</v>
      </c>
      <c r="G3" s="25" t="s">
        <v>3</v>
      </c>
      <c r="I3" s="25" t="s">
        <v>3</v>
      </c>
      <c r="K3" s="25" t="str">
        <f aca="false">D3</f>
        <v>2023-01 (Jan)</v>
      </c>
      <c r="L3" s="28" t="n">
        <f aca="false">SUMIFS(Data_Cube!$F$2:$F$337,Data_Cube!$A$2:$A$337,E3,Data_Cube!$C$2:$C$337,$B$3,Data_Cube!$D$2:$D$337,$B$4)</f>
        <v>466431.32</v>
      </c>
      <c r="N3" s="25" t="s">
        <v>51</v>
      </c>
      <c r="O3" s="28" t="n">
        <f aca="false">SUMIFS(Data_Cube!$F$2:$F$337,Data_Cube!$D$2:$D$337,N3,Data_Cube!$C$2:$C$337,$B$3,Data_Cube!$A$2:$A$337,"&gt;="&amp;$B$5,Data_Cube!$A$2:$A$337,"&lt;="&amp;$B$6)</f>
        <v>927154.95</v>
      </c>
      <c r="Q3" s="25" t="s">
        <v>15</v>
      </c>
      <c r="R3" s="28" t="n">
        <f aca="false">SUMIFS(Data_Cube!$F$2:$F$337,Data_Cube!$C$2:$C$337,Q3,Data_Cube!$D$2:$D$337,$B$4,Data_Cube!$A$2:$A$337,"&gt;="&amp;$B$5,Data_Cube!$A$2:$A$337,"&lt;="&amp;$B$6)</f>
        <v>2327174.33</v>
      </c>
    </row>
    <row r="4" customFormat="false" ht="15" hidden="false" customHeight="false" outlineLevel="0" collapsed="false">
      <c r="A4" s="25" t="s">
        <v>153</v>
      </c>
      <c r="B4" s="25" t="str">
        <f aca="false">IF(Dashboard!$F$4="All","*",Dashboard!$F$4)</f>
        <v>*</v>
      </c>
      <c r="D4" s="25" t="s">
        <v>154</v>
      </c>
      <c r="E4" s="25" t="n">
        <v>2</v>
      </c>
      <c r="G4" s="25" t="s">
        <v>17</v>
      </c>
      <c r="I4" s="25" t="s">
        <v>39</v>
      </c>
      <c r="K4" s="25" t="str">
        <f aca="false">D4</f>
        <v>2023-02 (Feb)</v>
      </c>
      <c r="L4" s="28" t="n">
        <f aca="false">SUMIFS(Data_Cube!$F$2:$F$337,Data_Cube!$A$2:$A$337,E4,Data_Cube!$C$2:$C$337,$B$3,Data_Cube!$D$2:$D$337,$B$4)</f>
        <v>466889.23</v>
      </c>
      <c r="N4" s="25" t="s">
        <v>39</v>
      </c>
      <c r="O4" s="28" t="n">
        <f aca="false">SUMIFS(Data_Cube!$F$2:$F$337,Data_Cube!$D$2:$D$337,N4,Data_Cube!$C$2:$C$337,$B$3,Data_Cube!$A$2:$A$337,"&gt;="&amp;$B$5,Data_Cube!$A$2:$A$337,"&lt;="&amp;$B$6)</f>
        <v>3634860.13</v>
      </c>
      <c r="Q4" s="25" t="s">
        <v>16</v>
      </c>
      <c r="R4" s="28" t="n">
        <f aca="false">SUMIFS(Data_Cube!$F$2:$F$337,Data_Cube!$C$2:$C$337,Q4,Data_Cube!$D$2:$D$337,$B$4,Data_Cube!$A$2:$A$337,"&gt;="&amp;$B$5,Data_Cube!$A$2:$A$337,"&lt;="&amp;$B$6)</f>
        <v>1923850.98</v>
      </c>
    </row>
    <row r="5" customFormat="false" ht="15" hidden="false" customHeight="false" outlineLevel="0" collapsed="false">
      <c r="A5" s="25" t="s">
        <v>155</v>
      </c>
      <c r="B5" s="25" t="n">
        <f aca="false">MATCH(Dashboard!$I$4,$D$3:$D$26,0)</f>
        <v>1</v>
      </c>
      <c r="D5" s="25" t="s">
        <v>156</v>
      </c>
      <c r="E5" s="25" t="n">
        <v>3</v>
      </c>
      <c r="G5" s="25" t="s">
        <v>18</v>
      </c>
      <c r="I5" s="25" t="s">
        <v>45</v>
      </c>
      <c r="K5" s="25" t="str">
        <f aca="false">D5</f>
        <v>2023-03 (Mar)</v>
      </c>
      <c r="L5" s="28" t="n">
        <f aca="false">SUMIFS(Data_Cube!$F$2:$F$337,Data_Cube!$A$2:$A$337,E5,Data_Cube!$C$2:$C$337,$B$3,Data_Cube!$D$2:$D$337,$B$4)</f>
        <v>586233.84</v>
      </c>
      <c r="N5" s="25" t="s">
        <v>45</v>
      </c>
      <c r="O5" s="28" t="n">
        <f aca="false">SUMIFS(Data_Cube!$F$2:$F$337,Data_Cube!$D$2:$D$337,N5,Data_Cube!$C$2:$C$337,$B$3,Data_Cube!$A$2:$A$337,"&gt;="&amp;$B$5,Data_Cube!$A$2:$A$337,"&lt;="&amp;$B$6)</f>
        <v>9771138.54</v>
      </c>
      <c r="Q5" s="25" t="s">
        <v>17</v>
      </c>
      <c r="R5" s="28" t="n">
        <f aca="false">SUMIFS(Data_Cube!$F$2:$F$337,Data_Cube!$C$2:$C$337,Q5,Data_Cube!$D$2:$D$337,$B$4,Data_Cube!$A$2:$A$337,"&gt;="&amp;$B$5,Data_Cube!$A$2:$A$337,"&lt;="&amp;$B$6)</f>
        <v>3372965.49</v>
      </c>
    </row>
    <row r="6" customFormat="false" ht="15" hidden="false" customHeight="false" outlineLevel="0" collapsed="false">
      <c r="A6" s="25" t="s">
        <v>157</v>
      </c>
      <c r="B6" s="25" t="n">
        <f aca="false">MATCH(Dashboard!$L$4,$D$3:$D$26,0)</f>
        <v>24</v>
      </c>
      <c r="D6" s="25" t="s">
        <v>158</v>
      </c>
      <c r="E6" s="25" t="n">
        <v>4</v>
      </c>
      <c r="G6" s="25" t="s">
        <v>15</v>
      </c>
      <c r="I6" s="25" t="s">
        <v>51</v>
      </c>
      <c r="K6" s="25" t="str">
        <f aca="false">D6</f>
        <v>2023-04 (Apr)</v>
      </c>
      <c r="L6" s="28" t="n">
        <f aca="false">SUMIFS(Data_Cube!$F$2:$F$337,Data_Cube!$A$2:$A$337,E6,Data_Cube!$C$2:$C$337,$B$3,Data_Cube!$D$2:$D$337,$B$4)</f>
        <v>638708.5</v>
      </c>
      <c r="Q6" s="25" t="s">
        <v>18</v>
      </c>
      <c r="R6" s="28" t="n">
        <f aca="false">SUMIFS(Data_Cube!$F$2:$F$337,Data_Cube!$C$2:$C$337,Q6,Data_Cube!$D$2:$D$337,$B$4,Data_Cube!$A$2:$A$337,"&gt;="&amp;$B$5,Data_Cube!$A$2:$A$337,"&lt;="&amp;$B$6)</f>
        <v>6106278.44</v>
      </c>
    </row>
    <row r="7" customFormat="false" ht="15" hidden="false" customHeight="false" outlineLevel="0" collapsed="false">
      <c r="A7" s="25" t="s">
        <v>159</v>
      </c>
      <c r="B7" s="29" t="n">
        <v>700</v>
      </c>
      <c r="D7" s="25" t="s">
        <v>160</v>
      </c>
      <c r="E7" s="25" t="n">
        <v>5</v>
      </c>
      <c r="G7" s="25" t="s">
        <v>19</v>
      </c>
      <c r="K7" s="25" t="str">
        <f aca="false">D7</f>
        <v>2023-05 (May)</v>
      </c>
      <c r="L7" s="28" t="n">
        <f aca="false">SUMIFS(Data_Cube!$F$2:$F$337,Data_Cube!$A$2:$A$337,E7,Data_Cube!$C$2:$C$337,$B$3,Data_Cube!$D$2:$D$337,$B$4)</f>
        <v>732169.5</v>
      </c>
      <c r="Q7" s="25" t="s">
        <v>19</v>
      </c>
      <c r="R7" s="28" t="n">
        <f aca="false">SUMIFS(Data_Cube!$F$2:$F$337,Data_Cube!$C$2:$C$337,Q7,Data_Cube!$D$2:$D$337,$B$4,Data_Cube!$A$2:$A$337,"&gt;="&amp;$B$5,Data_Cube!$A$2:$A$337,"&lt;="&amp;$B$6)</f>
        <v>602884.38</v>
      </c>
    </row>
    <row r="8" customFormat="false" ht="15" hidden="false" customHeight="false" outlineLevel="0" collapsed="false">
      <c r="A8" s="25" t="s">
        <v>161</v>
      </c>
      <c r="B8" s="29" t="n">
        <v>60</v>
      </c>
      <c r="D8" s="25" t="s">
        <v>162</v>
      </c>
      <c r="E8" s="25" t="n">
        <v>6</v>
      </c>
      <c r="G8" s="25" t="s">
        <v>16</v>
      </c>
      <c r="K8" s="25" t="str">
        <f aca="false">D8</f>
        <v>2023-06 (Jun)</v>
      </c>
      <c r="L8" s="28" t="n">
        <f aca="false">SUMIFS(Data_Cube!$F$2:$F$337,Data_Cube!$A$2:$A$337,E8,Data_Cube!$C$2:$C$337,$B$3,Data_Cube!$D$2:$D$337,$B$4)</f>
        <v>732850.25</v>
      </c>
    </row>
    <row r="9" customFormat="false" ht="15" hidden="false" customHeight="false" outlineLevel="0" collapsed="false">
      <c r="A9" s="18" t="s">
        <v>163</v>
      </c>
      <c r="D9" s="25" t="s">
        <v>164</v>
      </c>
      <c r="E9" s="25" t="n">
        <v>7</v>
      </c>
      <c r="K9" s="25" t="str">
        <f aca="false">D9</f>
        <v>2023-07 (Jul)</v>
      </c>
      <c r="L9" s="28" t="n">
        <f aca="false">SUMIFS(Data_Cube!$F$2:$F$337,Data_Cube!$A$2:$A$337,E9,Data_Cube!$C$2:$C$337,$B$3,Data_Cube!$D$2:$D$337,$B$4)</f>
        <v>727015.24</v>
      </c>
    </row>
    <row r="10" customFormat="false" ht="15" hidden="false" customHeight="false" outlineLevel="0" collapsed="false">
      <c r="D10" s="25" t="s">
        <v>165</v>
      </c>
      <c r="E10" s="25" t="n">
        <v>8</v>
      </c>
      <c r="K10" s="25" t="str">
        <f aca="false">D10</f>
        <v>2023-08 (Aug)</v>
      </c>
      <c r="L10" s="28" t="n">
        <f aca="false">SUMIFS(Data_Cube!$F$2:$F$337,Data_Cube!$A$2:$A$337,E10,Data_Cube!$C$2:$C$337,$B$3,Data_Cube!$D$2:$D$337,$B$4)</f>
        <v>695458.17</v>
      </c>
    </row>
    <row r="11" customFormat="false" ht="15" hidden="false" customHeight="false" outlineLevel="0" collapsed="false">
      <c r="D11" s="25" t="s">
        <v>166</v>
      </c>
      <c r="E11" s="25" t="n">
        <v>9</v>
      </c>
      <c r="K11" s="25" t="str">
        <f aca="false">D11</f>
        <v>2023-09 (Sep)</v>
      </c>
      <c r="L11" s="28" t="n">
        <f aca="false">SUMIFS(Data_Cube!$F$2:$F$337,Data_Cube!$A$2:$A$337,E11,Data_Cube!$C$2:$C$337,$B$3,Data_Cube!$D$2:$D$337,$B$4)</f>
        <v>593738.72</v>
      </c>
    </row>
    <row r="12" customFormat="false" ht="15" hidden="false" customHeight="false" outlineLevel="0" collapsed="false">
      <c r="D12" s="25" t="s">
        <v>167</v>
      </c>
      <c r="E12" s="25" t="n">
        <v>10</v>
      </c>
      <c r="K12" s="25" t="str">
        <f aca="false">D12</f>
        <v>2023-10 (Oct)</v>
      </c>
      <c r="L12" s="28" t="n">
        <f aca="false">SUMIFS(Data_Cube!$F$2:$F$337,Data_Cube!$A$2:$A$337,E12,Data_Cube!$C$2:$C$337,$B$3,Data_Cube!$D$2:$D$337,$B$4)</f>
        <v>539581.62</v>
      </c>
    </row>
    <row r="13" customFormat="false" ht="15" hidden="false" customHeight="false" outlineLevel="0" collapsed="false">
      <c r="D13" s="25" t="s">
        <v>168</v>
      </c>
      <c r="E13" s="25" t="n">
        <v>11</v>
      </c>
      <c r="K13" s="25" t="str">
        <f aca="false">D13</f>
        <v>2023-11 (Nov)</v>
      </c>
      <c r="L13" s="28" t="n">
        <f aca="false">SUMIFS(Data_Cube!$F$2:$F$337,Data_Cube!$A$2:$A$337,E13,Data_Cube!$C$2:$C$337,$B$3,Data_Cube!$D$2:$D$337,$B$4)</f>
        <v>471421.73</v>
      </c>
    </row>
    <row r="14" customFormat="false" ht="15" hidden="false" customHeight="false" outlineLevel="0" collapsed="false">
      <c r="D14" s="25" t="s">
        <v>169</v>
      </c>
      <c r="E14" s="25" t="n">
        <v>12</v>
      </c>
      <c r="K14" s="25" t="str">
        <f aca="false">D14</f>
        <v>2023-12 (Dec)</v>
      </c>
      <c r="L14" s="28" t="n">
        <f aca="false">SUMIFS(Data_Cube!$F$2:$F$337,Data_Cube!$A$2:$A$337,E14,Data_Cube!$C$2:$C$337,$B$3,Data_Cube!$D$2:$D$337,$B$4)</f>
        <v>452585.82</v>
      </c>
    </row>
    <row r="15" customFormat="false" ht="15" hidden="false" customHeight="false" outlineLevel="0" collapsed="false">
      <c r="D15" s="25" t="s">
        <v>170</v>
      </c>
      <c r="E15" s="25" t="n">
        <v>13</v>
      </c>
      <c r="K15" s="25" t="str">
        <f aca="false">D15</f>
        <v>2024-01 (Jan)</v>
      </c>
      <c r="L15" s="28" t="n">
        <f aca="false">SUMIFS(Data_Cube!$F$2:$F$337,Data_Cube!$A$2:$A$337,E15,Data_Cube!$C$2:$C$337,$B$3,Data_Cube!$D$2:$D$337,$B$4)</f>
        <v>479148.54</v>
      </c>
    </row>
    <row r="16" customFormat="false" ht="15" hidden="false" customHeight="false" outlineLevel="0" collapsed="false">
      <c r="D16" s="25" t="s">
        <v>171</v>
      </c>
      <c r="E16" s="25" t="n">
        <v>14</v>
      </c>
      <c r="K16" s="25" t="str">
        <f aca="false">D16</f>
        <v>2024-02 (Feb)</v>
      </c>
      <c r="L16" s="28" t="n">
        <f aca="false">SUMIFS(Data_Cube!$F$2:$F$337,Data_Cube!$A$2:$A$337,E16,Data_Cube!$C$2:$C$337,$B$3,Data_Cube!$D$2:$D$337,$B$4)</f>
        <v>495600.33</v>
      </c>
    </row>
    <row r="17" customFormat="false" ht="15" hidden="false" customHeight="false" outlineLevel="0" collapsed="false">
      <c r="D17" s="25" t="s">
        <v>172</v>
      </c>
      <c r="E17" s="25" t="n">
        <v>15</v>
      </c>
      <c r="K17" s="25" t="str">
        <f aca="false">D17</f>
        <v>2024-03 (Mar)</v>
      </c>
      <c r="L17" s="28" t="n">
        <f aca="false">SUMIFS(Data_Cube!$F$2:$F$337,Data_Cube!$A$2:$A$337,E17,Data_Cube!$C$2:$C$337,$B$3,Data_Cube!$D$2:$D$337,$B$4)</f>
        <v>595277.93</v>
      </c>
    </row>
    <row r="18" customFormat="false" ht="15" hidden="false" customHeight="false" outlineLevel="0" collapsed="false">
      <c r="D18" s="25" t="s">
        <v>173</v>
      </c>
      <c r="E18" s="25" t="n">
        <v>16</v>
      </c>
      <c r="K18" s="25" t="str">
        <f aca="false">D18</f>
        <v>2024-04 (Apr)</v>
      </c>
      <c r="L18" s="28" t="n">
        <f aca="false">SUMIFS(Data_Cube!$F$2:$F$337,Data_Cube!$A$2:$A$337,E18,Data_Cube!$C$2:$C$337,$B$3,Data_Cube!$D$2:$D$337,$B$4)</f>
        <v>658349.97</v>
      </c>
    </row>
    <row r="19" customFormat="false" ht="15" hidden="false" customHeight="false" outlineLevel="0" collapsed="false">
      <c r="D19" s="25" t="s">
        <v>174</v>
      </c>
      <c r="E19" s="25" t="n">
        <v>17</v>
      </c>
      <c r="K19" s="25" t="str">
        <f aca="false">D19</f>
        <v>2024-05 (May)</v>
      </c>
      <c r="L19" s="28" t="n">
        <f aca="false">SUMIFS(Data_Cube!$F$2:$F$337,Data_Cube!$A$2:$A$337,E19,Data_Cube!$C$2:$C$337,$B$3,Data_Cube!$D$2:$D$337,$B$4)</f>
        <v>743958.67</v>
      </c>
    </row>
    <row r="20" customFormat="false" ht="15" hidden="false" customHeight="false" outlineLevel="0" collapsed="false">
      <c r="D20" s="25" t="s">
        <v>175</v>
      </c>
      <c r="E20" s="25" t="n">
        <v>18</v>
      </c>
      <c r="K20" s="25" t="str">
        <f aca="false">D20</f>
        <v>2024-06 (Jun)</v>
      </c>
      <c r="L20" s="28" t="n">
        <f aca="false">SUMIFS(Data_Cube!$F$2:$F$337,Data_Cube!$A$2:$A$337,E20,Data_Cube!$C$2:$C$337,$B$3,Data_Cube!$D$2:$D$337,$B$4)</f>
        <v>732650.61</v>
      </c>
    </row>
    <row r="21" customFormat="false" ht="15" hidden="false" customHeight="false" outlineLevel="0" collapsed="false">
      <c r="D21" s="25" t="s">
        <v>176</v>
      </c>
      <c r="E21" s="25" t="n">
        <v>19</v>
      </c>
      <c r="K21" s="25" t="str">
        <f aca="false">D21</f>
        <v>2024-07 (Jul)</v>
      </c>
      <c r="L21" s="28" t="n">
        <f aca="false">SUMIFS(Data_Cube!$F$2:$F$337,Data_Cube!$A$2:$A$337,E21,Data_Cube!$C$2:$C$337,$B$3,Data_Cube!$D$2:$D$337,$B$4)</f>
        <v>754747.62</v>
      </c>
    </row>
    <row r="22" customFormat="false" ht="15" hidden="false" customHeight="false" outlineLevel="0" collapsed="false">
      <c r="D22" s="25" t="s">
        <v>177</v>
      </c>
      <c r="E22" s="25" t="n">
        <v>20</v>
      </c>
      <c r="K22" s="25" t="str">
        <f aca="false">D22</f>
        <v>2024-08 (Aug)</v>
      </c>
      <c r="L22" s="28" t="n">
        <f aca="false">SUMIFS(Data_Cube!$F$2:$F$337,Data_Cube!$A$2:$A$337,E22,Data_Cube!$C$2:$C$337,$B$3,Data_Cube!$D$2:$D$337,$B$4)</f>
        <v>694546.74</v>
      </c>
    </row>
    <row r="23" customFormat="false" ht="15" hidden="false" customHeight="false" outlineLevel="0" collapsed="false">
      <c r="D23" s="25" t="s">
        <v>178</v>
      </c>
      <c r="E23" s="25" t="n">
        <v>21</v>
      </c>
      <c r="K23" s="25" t="str">
        <f aca="false">D23</f>
        <v>2024-09 (Sep)</v>
      </c>
      <c r="L23" s="28" t="n">
        <f aca="false">SUMIFS(Data_Cube!$F$2:$F$337,Data_Cube!$A$2:$A$337,E23,Data_Cube!$C$2:$C$337,$B$3,Data_Cube!$D$2:$D$337,$B$4)</f>
        <v>595974.27</v>
      </c>
    </row>
    <row r="24" customFormat="false" ht="15" hidden="false" customHeight="false" outlineLevel="0" collapsed="false">
      <c r="D24" s="25" t="s">
        <v>179</v>
      </c>
      <c r="E24" s="25" t="n">
        <v>22</v>
      </c>
      <c r="K24" s="25" t="str">
        <f aca="false">D24</f>
        <v>2024-10 (Oct)</v>
      </c>
      <c r="L24" s="28" t="n">
        <f aca="false">SUMIFS(Data_Cube!$F$2:$F$337,Data_Cube!$A$2:$A$337,E24,Data_Cube!$C$2:$C$337,$B$3,Data_Cube!$D$2:$D$337,$B$4)</f>
        <v>547667.14</v>
      </c>
    </row>
    <row r="25" customFormat="false" ht="15" hidden="false" customHeight="false" outlineLevel="0" collapsed="false">
      <c r="D25" s="25" t="s">
        <v>180</v>
      </c>
      <c r="E25" s="25" t="n">
        <v>23</v>
      </c>
      <c r="K25" s="25" t="str">
        <f aca="false">D25</f>
        <v>2024-11 (Nov)</v>
      </c>
      <c r="L25" s="28" t="n">
        <f aca="false">SUMIFS(Data_Cube!$F$2:$F$337,Data_Cube!$A$2:$A$337,E25,Data_Cube!$C$2:$C$337,$B$3,Data_Cube!$D$2:$D$337,$B$4)</f>
        <v>470810.29</v>
      </c>
    </row>
    <row r="26" customFormat="false" ht="15" hidden="false" customHeight="false" outlineLevel="0" collapsed="false">
      <c r="D26" s="25" t="s">
        <v>8</v>
      </c>
      <c r="E26" s="25" t="n">
        <v>24</v>
      </c>
      <c r="K26" s="25" t="str">
        <f aca="false">D26</f>
        <v>2024-12 (Dec)</v>
      </c>
      <c r="L26" s="28" t="n">
        <f aca="false">SUMIFS(Data_Cube!$F$2:$F$337,Data_Cube!$A$2:$A$337,E26,Data_Cube!$C$2:$C$337,$B$3,Data_Cube!$D$2:$D$337,$B$4)</f>
        <v>461337.57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2026-10-17T10:44:20Z</dcterms:created>
  <dc:creator>openpyxl</dc:creator>
  <dc:description/>
  <dc:language>en-US</dc:language>
  <cp:lastModifiedBy/>
  <dcterms:modified xsi:type="dcterms:W3CDTF">2026-10-17T10:44:22Z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